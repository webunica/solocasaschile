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b32e074eb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6fcbe96c6d4148"/>
    <x:sheet xmlns:r="http://schemas.openxmlformats.org/officeDocument/2006/relationships" name="Resumen" sheetId="2" r:id="R4fb343a4486d4fec"/>
    <x:sheet xmlns:r="http://schemas.openxmlformats.org/officeDocument/2006/relationships" name="Empresas" sheetId="3" r:id="Rcce2cf2d0ae547aa"/>
    <x:sheet xmlns:r="http://schemas.openxmlformats.org/officeDocument/2006/relationships" name="Modelos_Casa" sheetId="4" r:id="Rf53d47e9874f42db"/>
    <x:sheet xmlns:r="http://schemas.openxmlformats.org/officeDocument/2006/relationships" name="Proyectos" sheetId="5" r:id="Rb59b0abd3ab54232"/>
    <x:sheet xmlns:r="http://schemas.openxmlformats.org/officeDocument/2006/relationships" name="Testimonios" sheetId="6" r:id="R4d2b4f5012e84c84"/>
    <x:sheet xmlns:r="http://schemas.openxmlformats.org/officeDocument/2006/relationships" name="Parametros_Tecnicos" sheetId="7" r:id="R378b5d03d0b3417c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G1" authorId="0">
      <x:text>
        <x:r>
          <x:t>Fuente referencial por sistema constructivo; no corresponde a certificación de un proyecto real.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E1" authorId="0">
      <x:text>
        <x:r>
          <x:t>URLs referenciales de mercado y fichas técnicas usadas para definir campos de especificación.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00000"/>
    <x:numFmt numFmtId="166" formatCode="#,##0.0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>
      <x:color rgb="00000000"/>
    </x:font>
    <x:font>
      <x:color rgb="001F4E78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3F6F9"/>
      </x:patternFill>
    </x:fill>
  </x:fills>
  <x:borders count="2">
    <x:border>
      <x:left/>
      <x:right/>
      <x:top/>
      <x:bottom/>
      <x:diagonal/>
    </x:border>
    <x:border>
      <x:bottom style="thin">
        <x:color rgb="00D0D7D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/>
    <x:xf numFmtId="0" fontId="2" fillId="3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2" fillId="4" borderId="0" xfId="0"/>
    <x:xf numFmtId="0" fontId="0" fillId="4" borderId="0" xfId="0"/>
    <x:xf numFmtId="0" fontId="2" fillId="0" borderId="0" xfId="0"/>
    <x:xf numFmtId="0" fontId="1" fillId="2" borderId="1" xfId="0" applyAlignment="1">
      <x:alignment horizontal="center" vertical="center" wrapText="1"/>
    </x:xf>
    <x:xf numFmtId="0" fontId="1" fillId="2" borderId="1" xfId="0" applyAlignment="1">
      <x:alignment vertical="top" wrapText="1"/>
    </x:xf>
    <x:xf numFmtId="0" fontId="4" fillId="0" borderId="0" xfId="0"/>
    <x:xf numFmtId="0" fontId="4" fillId="0" borderId="0" xfId="0" applyAlignment="1">
      <x:alignment vertical="top" wrapText="1"/>
    </x:xf>
    <x:xf numFmtId="165" fontId="4" fillId="0" borderId="0" xfId="0"/>
    <x:xf numFmtId="166" fontId="4" fillId="0" borderId="0" xfId="0"/>
    <x:xf numFmtId="0" fontId="3" fillId="0" borderId="0" xfId="0"/>
    <x:xf numFmtId="166" fontId="3" fillId="0" borderId="0" xfId="0"/>
    <x:xf numFmtId="3" fontId="4" fillId="0" borderId="0" xfId="0"/>
    <x:xf numFmtId="164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0c1f8e0ee4632" /><Relationship Type="http://schemas.openxmlformats.org/officeDocument/2006/relationships/theme" Target="/xl/theme/theme1.xml" Id="R20742232cf114f47" /><Relationship Type="http://schemas.openxmlformats.org/officeDocument/2006/relationships/sharedStrings" Target="/xl/sharedStrings.xml" Id="Ra66ef783cd744f34" /><Relationship Type="http://schemas.openxmlformats.org/officeDocument/2006/relationships/worksheet" Target="/xl/worksheets/sheet1.xml" Id="Rca6fcbe96c6d4148" /><Relationship Type="http://schemas.openxmlformats.org/officeDocument/2006/relationships/worksheet" Target="/xl/worksheets/sheet2.xml" Id="R4fb343a4486d4fec" /><Relationship Type="http://schemas.openxmlformats.org/officeDocument/2006/relationships/worksheet" Target="/xl/worksheets/sheet3.xml" Id="Rcce2cf2d0ae547aa" /><Relationship Type="http://schemas.openxmlformats.org/officeDocument/2006/relationships/worksheet" Target="/xl/worksheets/sheet4.xml" Id="Rf53d47e9874f42db" /><Relationship Type="http://schemas.openxmlformats.org/officeDocument/2006/relationships/worksheet" Target="/xl/worksheets/sheet5.xml" Id="Rb59b0abd3ab54232" /><Relationship Type="http://schemas.openxmlformats.org/officeDocument/2006/relationships/worksheet" Target="/xl/worksheets/sheet6.xml" Id="R4d2b4f5012e84c84" /><Relationship Type="http://schemas.openxmlformats.org/officeDocument/2006/relationships/worksheet" Target="/xl/worksheets/sheet7.xml" Id="R378b5d03d0b3417c" /><Relationship Type="http://schemas.microsoft.com/office/2017/10/relationships/person" Target="/xl/persons/person.xml" Id="R1e3de712892a4b13" /></Relationships>
</file>

<file path=xl/persons/person.xml><?xml version="1.0" encoding="utf-8"?>
<xltc:personList xmlns:xltc="http://schemas.microsoft.com/office/spreadsheetml/2018/threadedcomments">
  <xltc:person displayName="OpenAI" id="{3A3B62A9-7BC2-C074-8CFF-FCA2C5498DB4}"/>
  <xltc:person displayName="OpenAI" id="{1E02CD21-B944-E15F-FD8D-201D825BB062}"/>
</xltc:personList>
</file>

<file path=xl/tables/table1.xml><?xml version="1.0" encoding="utf-8"?>
<x:table xmlns:x="http://schemas.openxmlformats.org/spreadsheetml/2006/main" id="1" name="tblEmpresas" displayName="tblEmpresas" ref="A1:X51" headerRowCount="1">
  <x:autoFilter ref="A1:X51"/>
  <x:tableColumns count="24">
    <x:tableColumn id="1" name="empresa_id"/>
    <x:tableColumn id="2" name="nombre_empresa"/>
    <x:tableColumn id="3" name="razon_social_ficticia"/>
    <x:tableColumn id="4" name="rut_ficticio"/>
    <x:tableColumn id="5" name="empresa_ficticia"/>
    <x:tableColumn id="6" name="anio_fundacion"/>
    <x:tableColumn id="7" name="sistemas_constructivos"/>
    <x:tableColumn id="8" name="certificaciones_declaradas"/>
    <x:tableColumn id="9" name="email_comercial"/>
    <x:tableColumn id="10" name="sitio_web"/>
    <x:tableColumn id="11" name="telefono_1"/>
    <x:tableColumn id="12" name="telefono_2"/>
    <x:tableColumn id="13" name="direccion_matriz"/>
    <x:tableColumn id="14" name="comuna"/>
    <x:tableColumn id="15" name="ciudad"/>
    <x:tableColumn id="16" name="region"/>
    <x:tableColumn id="17" name="latitud"/>
    <x:tableColumn id="18" name="longitud"/>
    <x:tableColumn id="19" name="capacidad_anual_m2"/>
    <x:tableColumn id="20" name="cobertura"/>
    <x:tableColumn id="21" name="observaciones"/>
    <x:tableColumn id="22" name="modelos_cargados"/>
    <x:tableColumn id="23" name="proyectos_cargados"/>
    <x:tableColumn id="24" name="m2_proyectos_cargados"/>
  </x:tableColumns>
  <x:tableStyleInfo name="TableStyleMedium2" showRowStripes="1"/>
</x:table>
</file>

<file path=xl/tables/table2.xml><?xml version="1.0" encoding="utf-8"?>
<x:table xmlns:x="http://schemas.openxmlformats.org/spreadsheetml/2006/main" id="2" name="tblModelos" displayName="tblModelos" ref="A1:AH251" headerRowCount="1">
  <x:autoFilter ref="A1:AH251"/>
  <x:tableColumns count="34">
    <x:tableColumn id="1" name="modelo_id"/>
    <x:tableColumn id="2" name="empresa_id"/>
    <x:tableColumn id="3" name="nombre_modelo"/>
    <x:tableColumn id="4" name="referencia_toponimica"/>
    <x:tableColumn id="5" name="tipo_toponimo"/>
    <x:tableColumn id="6" name="empresa_ficticia"/>
    <x:tableColumn id="7" name="sistema_constructivo"/>
    <x:tableColumn id="8" name="superficie_m2"/>
    <x:tableColumn id="9" name="dormitorios"/>
    <x:tableColumn id="10" name="banos"/>
    <x:tableColumn id="11" name="pisos"/>
    <x:tableColumn id="12" name="modulos_estimados"/>
    <x:tableColumn id="13" name="altura_interior_m"/>
    <x:tableColumn id="14" name="estructura_principal"/>
    <x:tableColumn id="15" name="material_muros"/>
    <x:tableColumn id="16" name="espesor_muro_mm"/>
    <x:tableColumn id="17" name="aislacion_muros"/>
    <x:tableColumn id="18" name="espesor_aislacion_muro_mm"/>
    <x:tableColumn id="19" name="material_cubierta"/>
    <x:tableColumn id="20" name="espesor_cubierta_mm"/>
    <x:tableColumn id="21" name="aislacion_cubierta"/>
    <x:tableColumn id="22" name="material_piso_base"/>
    <x:tableColumn id="23" name="aislacion_piso"/>
    <x:tableColumn id="24" name="ventanas"/>
    <x:tableColumn id="25" name="revestimiento_exterior"/>
    <x:tableColumn id="26" name="revestimiento_interior"/>
    <x:tableColumn id="27" name="fundacion_recomendada"/>
    <x:tableColumn id="28" name="tiempo_fabricacion_semanas"/>
    <x:tableColumn id="29" name="tiempo_montaje_dias"/>
    <x:tableColumn id="30" name="uso_recomendado"/>
    <x:tableColumn id="31" name="clima_recomendado"/>
    <x:tableColumn id="32" name="norma_referencial"/>
    <x:tableColumn id="33" name="fuente_referencial_url"/>
    <x:tableColumn id="34" name="especificaciones_tecnicas_resumen"/>
  </x:tableColumns>
  <x:tableStyleInfo name="TableStyleMedium2" showRowStripes="1"/>
</x:table>
</file>

<file path=xl/tables/table3.xml><?xml version="1.0" encoding="utf-8"?>
<x:table xmlns:x="http://schemas.openxmlformats.org/spreadsheetml/2006/main" id="3" name="tblProyectos" displayName="tblProyectos" ref="A1:S151" headerRowCount="1">
  <x:autoFilter ref="A1:S151"/>
  <x:tableColumns count="19">
    <x:tableColumn id="1" name="proyecto_id"/>
    <x:tableColumn id="2" name="empresa_id"/>
    <x:tableColumn id="3" name="modelo_id"/>
    <x:tableColumn id="4" name="nombre_proyecto"/>
    <x:tableColumn id="5" name="empresa_ficticia"/>
    <x:tableColumn id="6" name="propietario_ficticio"/>
    <x:tableColumn id="7" name="fecha_entrega"/>
    <x:tableColumn id="8" name="metros_construidos"/>
    <x:tableColumn id="9" name="direccion_proyecto"/>
    <x:tableColumn id="10" name="comuna"/>
    <x:tableColumn id="11" name="ciudad"/>
    <x:tableColumn id="12" name="region"/>
    <x:tableColumn id="13" name="latitud"/>
    <x:tableColumn id="14" name="longitud"/>
    <x:tableColumn id="15" name="ubicacion_geolocalizacion"/>
    <x:tableColumn id="16" name="uso"/>
    <x:tableColumn id="17" name="estado"/>
    <x:tableColumn id="18" name="sistema_constructivo"/>
    <x:tableColumn id="19" name="testimonial_id"/>
  </x:tableColumns>
  <x:tableStyleInfo name="TableStyleMedium2" showRowStripes="1"/>
</x:table>
</file>

<file path=xl/tables/table4.xml><?xml version="1.0" encoding="utf-8"?>
<x:table xmlns:x="http://schemas.openxmlformats.org/spreadsheetml/2006/main" id="4" name="tblTestimonios" displayName="tblTestimonios" ref="A1:H151" headerRowCount="1">
  <x:autoFilter ref="A1:H151"/>
  <x:tableColumns count="8">
    <x:tableColumn id="1" name="testimonial_id"/>
    <x:tableColumn id="2" name="proyecto_id"/>
    <x:tableColumn id="3" name="empresa_id"/>
    <x:tableColumn id="4" name="propietario_ficticio"/>
    <x:tableColumn id="5" name="fecha_testimonio"/>
    <x:tableColumn id="6" name="calificacion_1_5"/>
    <x:tableColumn id="7" name="testimonio"/>
    <x:tableColumn id="8" name="dato_ficticio"/>
  </x:tableColumns>
  <x:tableStyleInfo name="TableStyleMedium2" showRowStripes="1"/>
</x:table>
</file>

<file path=xl/tables/table5.xml><?xml version="1.0" encoding="utf-8"?>
<x:table xmlns:x="http://schemas.openxmlformats.org/spreadsheetml/2006/main" id="5" name="tblParametros" displayName="tblParametros" ref="A1:E17" headerRowCount="1">
  <x:autoFilter ref="A1:E17"/>
  <x:tableColumns count="5">
    <x:tableColumn id="1" name="sistema"/>
    <x:tableColumn id="2" name="componente"/>
    <x:tableColumn id="3" name="especificacion_referencial"/>
    <x:tableColumn id="4" name="rango_tipico"/>
    <x:tableColumn id="5" name="fuente_ur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0a66f18cf3d48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b3bdf5d02c964b31" /><Relationship Type="http://schemas.openxmlformats.org/officeDocument/2006/relationships/vmlDrawing" Target="/xl/drawings/vmldrawing.vml" Id="R1d7ec07e1679452f" /><Relationship Type="http://schemas.openxmlformats.org/officeDocument/2006/relationships/table" Target="/xl/tables/table2.xml" Id="R55297eebd17348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eeec69d0c7442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66501b4f26b40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28f1fda2785c46d3" /><Relationship Type="http://schemas.openxmlformats.org/officeDocument/2006/relationships/vmlDrawing" Target="/xl/drawings/vmldrawing2.vml" Id="Recc0709a3a6540d5" /><Relationship Type="http://schemas.openxmlformats.org/officeDocument/2006/relationships/table" Target="/xl/tables/table5.xml" Id="Ra5d63f4f147c49b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0" customWidth="1"/>
  </x:cols>
  <x:sheetData>
    <x:row r="1">
      <x:c r="A1" s="1" t="inlineStr">
        <x:is>
          <x:t xml:space="preserve">Dataset ficticio para pruebas de software – constructoras de viviendas prefabricadas en Chile</x:t>
        </x:is>
      </x:c>
      <x:c r="B1" s="1" t="inlineStr">
        <x:is>
          <x:t xml:space="preserve"/>
        </x:is>
      </x:c>
    </x:row>
    <x:row r="2" ht="32" customHeight="1">
      <x:c r="A2" s="2" t="inlineStr">
        <x:is>
          <x:t xml:space="preserve">Fecha de generación</x:t>
        </x:is>
      </x:c>
      <x:c r="B2" s="3" t="inlineStr">
        <x:is>
          <x:t xml:space="preserve">2026-03-21 16:40</x:t>
        </x:is>
      </x:c>
    </x:row>
    <x:row r="3" ht="32" customHeight="1">
      <x:c r="A3" s="2" t="inlineStr">
        <x:is>
          <x:t xml:space="preserve">Advertencia</x:t>
        </x:is>
      </x:c>
      <x:c r="B3" s="3" t="inlineStr">
        <x:is>
          <x:t xml:space="preserve">Todos los datos de empresas, RUT, proyectos, propietarios, direcciones, teléfonos, correos y testimonios son sintéticos/ficticios y se generaron para QA, demos y pruebas de carga.</x:t>
        </x:is>
      </x:c>
    </x:row>
    <x:row r="4" ht="32" customHeight="1">
      <x:c r="A4" s="2" t="inlineStr">
        <x:is>
          <x:t xml:space="preserve">Cobertura</x:t>
        </x:is>
      </x:c>
      <x:c r="B4" s="3" t="inlineStr">
        <x:is>
          <x:t xml:space="preserve">50 empresas ficticias, 250 modelos de casa (5 por empresa), 150 proyectos y 150 testimonios.</x:t>
        </x:is>
      </x:c>
    </x:row>
    <x:row r="5" ht="32" customHeight="1">
      <x:c r="A5" s="2" t="inlineStr">
        <x:is>
          <x:t xml:space="preserve">Hojas del archivo</x:t>
        </x:is>
      </x:c>
      <x:c r="B5" s="3" t="inlineStr">
        <x:is>
          <x:t xml:space="preserve">Empresas / Modelos_Casa / Proyectos / Testimonios / Parametros_Tecnicos / Resumen / README</x:t>
        </x:is>
      </x:c>
    </x:row>
    <x:row r="6" ht="32" customHeight="1">
      <x:c r="A6" s="2" t="inlineStr">
        <x:is>
          <x:t xml:space="preserve">Claves de vinculación</x:t>
        </x:is>
      </x:c>
      <x:c r="B6" s="3" t="inlineStr">
        <x:is>
          <x:t xml:space="preserve">empresa_id relaciona Empresas, Modelos_Casa y Proyectos; modelo_id relaciona Modelos_Casa y Proyectos; testimonial_id relaciona Proyectos y Testimonios.</x:t>
        </x:is>
      </x:c>
    </x:row>
    <x:row r="7" ht="32" customHeight="1">
      <x:c r="A7" s="2" t="inlineStr">
        <x:is>
          <x:t xml:space="preserve">Toponimia usada en modelos</x:t>
        </x:is>
      </x:c>
      <x:c r="B7" s="3" t="inlineStr">
        <x:is>
          <x:t xml:space="preserve">Ríos, lagos, comunas, ciudades y otros topónimos chilenos.</x:t>
        </x:is>
      </x:c>
    </x:row>
    <x:row r="8" ht="32" customHeight="1">
      <x:c r="A8" s="2" t="inlineStr">
        <x:is>
          <x:t xml:space="preserve">Uso recomendado</x:t>
        </x:is>
      </x:c>
      <x:c r="B8" s="3" t="inlineStr">
        <x:is>
          <x:t xml:space="preserve">Carga masiva, demo comercial, pruebas de búsqueda, filtros, mapas, reportes y trazabilidad de proyectos.</x:t>
        </x:is>
      </x:c>
    </x:row>
    <x:row r="9" ht="32" customHeight="1">
      <x:c r="A9" s="2" t="inlineStr">
        <x:is>
          <x:t xml:space="preserve">Nota técnica</x:t>
        </x:is>
      </x:c>
      <x:c r="B9" s="3" t="inlineStr">
        <x:is>
          <x:t xml:space="preserve">Las especificaciones técnicas son referenciales y se basan en prácticas y fichas de mercado para SIP, steel frame, modular timber, híbrido y container. Deben adaptarse al detalle estructural y normativo del proyecto real.</x:t>
        </x:is>
      </x:c>
    </x:row>
    <x:row r="10" ht="32" customHeight="1">
      <x:c r="A10" s="2" t="inlineStr">
        <x:is>
          <x:t xml:space="preserve">Fuentes técnicas incluidas</x:t>
        </x:is>
      </x:c>
      <x:c r="B10" s="3" t="inlineStr">
        <x:is>
          <x:t xml:space="preserve">Ver hoja Parametros_Tecnicos y columnas fuente_referencial_url.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20" customWidth="1"/>
    <x:col min="3" max="3" width="32" customWidth="1"/>
  </x:cols>
  <x:sheetData>
    <x:row r="1">
      <x:c r="A1" s="1" t="inlineStr">
        <x:is>
          <x:t xml:space="preserve">Indicador</x:t>
        </x:is>
      </x:c>
      <x:c r="B1" s="1" t="inlineStr">
        <x:is>
          <x:t xml:space="preserve">Valor</x:t>
        </x:is>
      </x:c>
      <x:c r="C1" s="1" t="inlineStr">
        <x:is>
          <x:t xml:space="preserve">Observación</x:t>
        </x:is>
      </x:c>
    </x:row>
    <x:row r="2">
      <x:c r="A2" s="4" t="inlineStr">
        <x:is>
          <x:t xml:space="preserve">Total empresas</x:t>
        </x:is>
      </x:c>
      <x:c r="B2" s="5">
        <x:f>COUNTA(Empresas!A:A)-1</x:f>
        <x:v>50</x:v>
      </x:c>
      <x:c r="C2" s="5" t="inlineStr">
        <x:is>
          <x:t xml:space="preserve">Debe ser 50</x:t>
        </x:is>
      </x:c>
    </x:row>
    <x:row r="3">
      <x:c r="A3" s="6" t="inlineStr">
        <x:is>
          <x:t xml:space="preserve">Total modelos</x:t>
        </x:is>
      </x:c>
      <x:c r="B3">
        <x:f>COUNTA(Modelos_Casa!A:A)-1</x:f>
        <x:v>250</x:v>
      </x:c>
      <x:c r="C3" t="inlineStr">
        <x:is>
          <x:t xml:space="preserve">Debe ser 250</x:t>
        </x:is>
      </x:c>
    </x:row>
    <x:row r="4">
      <x:c r="A4" s="4" t="inlineStr">
        <x:is>
          <x:t xml:space="preserve">Modelos por empresa</x:t>
        </x:is>
      </x:c>
      <x:c r="B4" s="5">
        <x:f>B3/B2</x:f>
        <x:v>5</x:v>
      </x:c>
      <x:c r="C4" s="5" t="inlineStr">
        <x:is>
          <x:t xml:space="preserve">Meta 5</x:t>
        </x:is>
      </x:c>
    </x:row>
    <x:row r="5">
      <x:c r="A5" s="6" t="inlineStr">
        <x:is>
          <x:t xml:space="preserve">Total proyectos</x:t>
        </x:is>
      </x:c>
      <x:c r="B5">
        <x:f>COUNTA(Proyectos!A:A)-1</x:f>
        <x:v>150</x:v>
      </x:c>
      <x:c r="C5" t="inlineStr">
        <x:is>
          <x:t xml:space="preserve">Debe ser 150</x:t>
        </x:is>
      </x:c>
    </x:row>
    <x:row r="6">
      <x:c r="A6" s="4" t="inlineStr">
        <x:is>
          <x:t xml:space="preserve">Promedio proyectos por empresa</x:t>
        </x:is>
      </x:c>
      <x:c r="B6" s="5">
        <x:f>B5/B2</x:f>
        <x:v>3</x:v>
      </x:c>
      <x:c r="C6" s="5" t="inlineStr">
        <x:is>
          <x:t xml:space="preserve">Meta 3</x:t>
        </x:is>
      </x:c>
    </x:row>
    <x:row r="7">
      <x:c r="A7" s="6" t="inlineStr">
        <x:is>
          <x:t xml:space="preserve">Total testimonios</x:t>
        </x:is>
      </x:c>
      <x:c r="B7">
        <x:f>COUNTA(Testimonios!A:A)-1</x:f>
        <x:v>150</x:v>
      </x:c>
      <x:c r="C7" t="inlineStr">
        <x:is>
          <x:t xml:space="preserve">Debe ser 150</x:t>
        </x:is>
      </x:c>
    </x:row>
    <x:row r="8">
      <x:c r="A8" s="4" t="inlineStr">
        <x:is>
          <x:t xml:space="preserve">Promedio superficie modelo (m2)</x:t>
        </x:is>
      </x:c>
      <x:c r="B8" s="5">
        <x:f>AVERAGE(Modelos_Casa!H:H)</x:f>
        <x:v>112.584</x:v>
      </x:c>
      <x:c r="C8" s="5" t="inlineStr">
        <x:is>
          <x:t xml:space="preserve">Promedio general</x:t>
        </x:is>
      </x:c>
    </x:row>
    <x:row r="9">
      <x:c r="A9" s="6" t="inlineStr">
        <x:is>
          <x:t xml:space="preserve">Promedio metros construidos proyecto (m2)</x:t>
        </x:is>
      </x:c>
      <x:c r="B9">
        <x:f>AVERAGE(Proyectos!H:H)</x:f>
        <x:v>116.73800000000007</x:v>
      </x:c>
      <x:c r="C9" t="inlineStr">
        <x:is>
          <x:t xml:space="preserve">Promedio general</x:t>
        </x:is>
      </x:c>
    </x:row>
    <x:row r="10">
      <x:c r="A10" s="4" t="inlineStr">
        <x:is>
          <x:t xml:space="preserve">Sistemas representados</x:t>
        </x:is>
      </x:c>
      <x:c r="B10" s="5" t="n">
        <x:v>6</x:v>
      </x:c>
      <x:c r="C10" s="5" t="inlineStr">
        <x:is>
          <x:t xml:space="preserve">GENERAL + 5 sistemas técnicos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4" customWidth="1"/>
    <x:col min="3" max="3" width="38" customWidth="1"/>
    <x:col min="4" max="4" width="14" customWidth="1"/>
    <x:col min="5" max="5" width="18" customWidth="1"/>
    <x:col min="6" max="6" width="16" customWidth="1"/>
    <x:col min="7" max="7" width="38" customWidth="1"/>
    <x:col min="8" max="8" width="38" customWidth="1"/>
    <x:col min="9" max="9" width="32" customWidth="1"/>
    <x:col min="10" max="10" width="35" customWidth="1"/>
    <x:col min="11" max="11" width="17" customWidth="1"/>
    <x:col min="12" max="12" width="16" customWidth="1"/>
    <x:col min="13" max="13" width="35" customWidth="1"/>
    <x:col min="14" max="14" width="21" customWidth="1"/>
    <x:col min="15" max="15" width="16" customWidth="1"/>
    <x:col min="16" max="16" width="38" customWidth="1"/>
    <x:col min="17" max="17" width="12" customWidth="1"/>
    <x:col min="18" max="18" width="12" customWidth="1"/>
    <x:col min="19" max="19" width="20" customWidth="1"/>
    <x:col min="20" max="20" width="18" customWidth="1"/>
    <x:col min="21" max="21" width="38" customWidth="1"/>
    <x:col min="22" max="22" width="34" customWidth="1"/>
    <x:col min="23" max="23" width="31" customWidth="1"/>
    <x:col min="24" max="24" width="38" customWidth="1"/>
  </x:cols>
  <x:sheetData>
    <x:row r="1">
      <x:c r="A1" s="7" t="inlineStr">
        <x:is>
          <x:t xml:space="preserve">empresa_id</x:t>
        </x:is>
      </x:c>
      <x:c r="B1" s="7" t="inlineStr">
        <x:is>
          <x:t xml:space="preserve">nombre_empresa</x:t>
        </x:is>
      </x:c>
      <x:c r="C1" s="8" t="inlineStr">
        <x:is>
          <x:t xml:space="preserve">razon_social_ficticia</x:t>
        </x:is>
      </x:c>
      <x:c r="D1" s="7" t="inlineStr">
        <x:is>
          <x:t xml:space="preserve">rut_ficticio</x:t>
        </x:is>
      </x:c>
      <x:c r="E1" s="7" t="inlineStr">
        <x:is>
          <x:t xml:space="preserve">empresa_ficticia</x:t>
        </x:is>
      </x:c>
      <x:c r="F1" s="7" t="inlineStr">
        <x:is>
          <x:t xml:space="preserve">anio_fundacion</x:t>
        </x:is>
      </x:c>
      <x:c r="G1" s="8" t="inlineStr">
        <x:is>
          <x:t xml:space="preserve">sistemas_constructivos</x:t>
        </x:is>
      </x:c>
      <x:c r="H1" s="8" t="inlineStr">
        <x:is>
          <x:t xml:space="preserve">certificaciones_declaradas</x:t>
        </x:is>
      </x:c>
      <x:c r="I1" s="7" t="inlineStr">
        <x:is>
          <x:t xml:space="preserve">email_comercial</x:t>
        </x:is>
      </x:c>
      <x:c r="J1" s="7" t="inlineStr">
        <x:is>
          <x:t xml:space="preserve">sitio_web</x:t>
        </x:is>
      </x:c>
      <x:c r="K1" s="7" t="inlineStr">
        <x:is>
          <x:t xml:space="preserve">telefono_1</x:t>
        </x:is>
      </x:c>
      <x:c r="L1" s="7" t="inlineStr">
        <x:is>
          <x:t xml:space="preserve">telefono_2</x:t>
        </x:is>
      </x:c>
      <x:c r="M1" s="7" t="inlineStr">
        <x:is>
          <x:t xml:space="preserve">direccion_matriz</x:t>
        </x:is>
      </x:c>
      <x:c r="N1" s="7" t="inlineStr">
        <x:is>
          <x:t xml:space="preserve">comuna</x:t>
        </x:is>
      </x:c>
      <x:c r="O1" s="7" t="inlineStr">
        <x:is>
          <x:t xml:space="preserve">ciudad</x:t>
        </x:is>
      </x:c>
      <x:c r="P1" s="7" t="inlineStr">
        <x:is>
          <x:t xml:space="preserve">region</x:t>
        </x:is>
      </x:c>
      <x:c r="Q1" s="7" t="inlineStr">
        <x:is>
          <x:t xml:space="preserve">latitud</x:t>
        </x:is>
      </x:c>
      <x:c r="R1" s="7" t="inlineStr">
        <x:is>
          <x:t xml:space="preserve">longitud</x:t>
        </x:is>
      </x:c>
      <x:c r="S1" s="7" t="inlineStr">
        <x:is>
          <x:t xml:space="preserve">capacidad_anual_m2</x:t>
        </x:is>
      </x:c>
      <x:c r="T1" s="7" t="inlineStr">
        <x:is>
          <x:t xml:space="preserve">cobertura</x:t>
        </x:is>
      </x:c>
      <x:c r="U1" s="8" t="inlineStr">
        <x:is>
          <x:t xml:space="preserve">observaciones</x:t>
        </x:is>
      </x:c>
      <x:c r="V1" s="7" t="inlineStr">
        <x:is>
          <x:t xml:space="preserve">modelos_cargados</x:t>
        </x:is>
      </x:c>
      <x:c r="W1" s="7" t="inlineStr">
        <x:is>
          <x:t xml:space="preserve">proyectos_cargados</x:t>
        </x:is>
      </x:c>
      <x:c r="X1" s="7" t="inlineStr">
        <x:is>
          <x:t xml:space="preserve">m2_proyectos_cargados</x:t>
        </x:is>
      </x:c>
    </x:row>
    <x:row r="2" ht="18" customHeight="1">
      <x:c r="A2" s="9" t="inlineStr">
        <x:is>
          <x:t xml:space="preserve">EMP-001</x:t>
        </x:is>
      </x:c>
      <x:c r="B2" s="9" t="inlineStr">
        <x:is>
          <x:t xml:space="preserve">Urbem Modular Maipo SpA</x:t>
        </x:is>
      </x:c>
      <x:c r="C2" s="10" t="inlineStr">
        <x:is>
          <x:t xml:space="preserve">Urbem Modular Maipo Servicios Integrados SpA</x:t>
        </x:is>
      </x:c>
      <x:c r="D2" s="9" t="inlineStr">
        <x:is>
          <x:t xml:space="preserve">76.000.202-K</x:t>
        </x:is>
      </x:c>
      <x:c r="E2" s="9" t="inlineStr">
        <x:is>
          <x:t xml:space="preserve">Sí</x:t>
        </x:is>
      </x:c>
      <x:c r="F2" s="9" t="n">
        <x:v>2015</x:v>
      </x:c>
      <x:c r="G2" s="10" t="inlineStr">
        <x:is>
          <x:t xml:space="preserve">SIP, MODULAR_TIMBER, STEEL_FRAME, HYBRID_MODULAR</x:t>
        </x:is>
      </x:c>
      <x:c r="H2" s="10" t="inlineStr">
        <x:is>
          <x:t xml:space="preserve">ISO 45001:2018; Plan de gestión de residuos de obra; Protocolos internos SEC para instalaciones</x:t>
        </x:is>
      </x:c>
      <x:c r="I2" s="9" t="inlineStr">
        <x:is>
          <x:t xml:space="preserve">contacto@urbemmodularmaipos.cl</x:t>
        </x:is>
      </x:c>
      <x:c r="J2" s="9" t="inlineStr">
        <x:is>
          <x:t xml:space="preserve">https://www.urbemmodularmaipos.cl</x:t>
        </x:is>
      </x:c>
      <x:c r="K2" s="9" t="inlineStr">
        <x:is>
          <x:t xml:space="preserve">+56 9 3927 9317</x:t>
        </x:is>
      </x:c>
      <x:c r="L2" s="9" t="inlineStr">
        <x:is>
          <x:t xml:space="preserve">+56 32 7245398</x:t>
        </x:is>
      </x:c>
      <x:c r="M2" s="9" t="inlineStr">
        <x:is>
          <x:t xml:space="preserve">Sendero Los Carpinteros 1198</x:t>
        </x:is>
      </x:c>
      <x:c r="N2" s="9" t="inlineStr">
        <x:is>
          <x:t xml:space="preserve">Arica</x:t>
        </x:is>
      </x:c>
      <x:c r="O2" s="9" t="inlineStr">
        <x:is>
          <x:t xml:space="preserve">Arica</x:t>
        </x:is>
      </x:c>
      <x:c r="P2" s="9" t="inlineStr">
        <x:is>
          <x:t xml:space="preserve">Arica y Parinacota</x:t>
        </x:is>
      </x:c>
      <x:c r="Q2" s="11" t="n">
        <x:v>-18.540452</x:v>
      </x:c>
      <x:c r="R2" s="11" t="n">
        <x:v>-70.323038</x:v>
      </x:c>
      <x:c r="S2" s="12" t="n">
        <x:v>3000</x:v>
      </x:c>
      <x:c r="T2" s="9" t="inlineStr">
        <x:is>
          <x:t xml:space="preserve">Sur austral</x:t>
        </x:is>
      </x:c>
      <x:c r="U2" s="10" t="inlineStr">
        <x:is>
          <x:t xml:space="preserve">Incluye coordinación de especialidades y transporte de módulos.</x:t>
        </x:is>
      </x:c>
      <x:c r="V2" s="13">
        <x:f>COUNTIF(Modelos_Casa!$B:$B,A2)</x:f>
        <x:v>5</x:v>
      </x:c>
      <x:c r="W2" s="13">
        <x:f>COUNTIF(Proyectos!$B:$B,A2)</x:f>
        <x:v>3</x:v>
      </x:c>
      <x:c r="X2" s="14">
        <x:f>SUMIF(Proyectos!$B:$B,A2,Proyectos!$H:$H)</x:f>
        <x:v>356.7</x:v>
      </x:c>
    </x:row>
    <x:row r="3" ht="18" customHeight="1">
      <x:c r="A3" s="9" t="inlineStr">
        <x:is>
          <x:t xml:space="preserve">EMP-002</x:t>
        </x:is>
      </x:c>
      <x:c r="B3" s="9" t="inlineStr">
        <x:is>
          <x:t xml:space="preserve">Xile Construct Aysén Ltda.</x:t>
        </x:is>
      </x:c>
      <x:c r="C3" s="10" t="inlineStr">
        <x:is>
          <x:t xml:space="preserve">Xile Construct Aysén Soluciones Habitacionales Ltda.</x:t>
        </x:is>
      </x:c>
      <x:c r="D3" s="9" t="inlineStr">
        <x:is>
          <x:t xml:space="preserve">76.000.337-9</x:t>
        </x:is>
      </x:c>
      <x:c r="E3" s="9" t="inlineStr">
        <x:is>
          <x:t xml:space="preserve">Sí</x:t>
        </x:is>
      </x:c>
      <x:c r="F3" s="9" t="n">
        <x:v>2023</x:v>
      </x:c>
      <x:c r="G3" s="10" t="inlineStr">
        <x:is>
          <x:t xml:space="preserve">SIP, STEEL_FRAME, CONTAINER, HYBRID_MODULAR</x:t>
        </x:is>
      </x:c>
      <x:c r="H3" s="10" t="inlineStr">
        <x:is>
          <x:t xml:space="preserve">Control dimensional BIM en taller; ISO 9001:2015; Protocolos internos SEC para instalaciones</x:t>
        </x:is>
      </x:c>
      <x:c r="I3" s="9" t="inlineStr">
        <x:is>
          <x:t xml:space="preserve">contacto@xileconstructaysen.cl</x:t>
        </x:is>
      </x:c>
      <x:c r="J3" s="9" t="inlineStr">
        <x:is>
          <x:t xml:space="preserve">https://www.xileconstructaysen.cl</x:t>
        </x:is>
      </x:c>
      <x:c r="K3" s="9" t="inlineStr">
        <x:is>
          <x:t xml:space="preserve">+56 9 1319 2832</x:t>
        </x:is>
      </x:c>
      <x:c r="L3" s="9" t="inlineStr">
        <x:is>
          <x:t xml:space="preserve">+56 52 8976516</x:t>
        </x:is>
      </x:c>
      <x:c r="M3" s="9" t="inlineStr">
        <x:is>
          <x:t xml:space="preserve">Av. Radal 1447</x:t>
        </x:is>
      </x:c>
      <x:c r="N3" s="9" t="inlineStr">
        <x:is>
          <x:t xml:space="preserve">Iquique</x:t>
        </x:is>
      </x:c>
      <x:c r="O3" s="9" t="inlineStr">
        <x:is>
          <x:t xml:space="preserve">Iquique</x:t>
        </x:is>
      </x:c>
      <x:c r="P3" s="9" t="inlineStr">
        <x:is>
          <x:t xml:space="preserve">Tarapacá</x:t>
        </x:is>
      </x:c>
      <x:c r="Q3" s="11" t="n">
        <x:v>-20.224399</x:v>
      </x:c>
      <x:c r="R3" s="11" t="n">
        <x:v>-70.09112</x:v>
      </x:c>
      <x:c r="S3" s="12" t="n">
        <x:v>2200</x:v>
      </x:c>
      <x:c r="T3" s="9" t="inlineStr">
        <x:is>
          <x:t xml:space="preserve">Nacional</x:t>
        </x:is>
      </x:c>
      <x:c r="U3" s="10" t="inlineStr">
        <x:is>
          <x:t xml:space="preserve">Opera con fabricación en taller y montaje en sitio.</x:t>
        </x:is>
      </x:c>
      <x:c r="V3" s="13">
        <x:f>COUNTIF(Modelos_Casa!$B:$B,A3)</x:f>
        <x:v>5</x:v>
      </x:c>
      <x:c r="W3" s="13">
        <x:f>COUNTIF(Proyectos!$B:$B,A3)</x:f>
        <x:v>3</x:v>
      </x:c>
      <x:c r="X3" s="14">
        <x:f>SUMIF(Proyectos!$B:$B,A3,Proyectos!$H:$H)</x:f>
        <x:v>348.7</x:v>
      </x:c>
    </x:row>
    <x:row r="4" ht="18" customHeight="1">
      <x:c r="A4" s="9" t="inlineStr">
        <x:is>
          <x:t xml:space="preserve">EMP-003</x:t>
        </x:is>
      </x:c>
      <x:c r="B4" s="9" t="inlineStr">
        <x:is>
          <x:t xml:space="preserve">Geo Prefab Ranco SpA</x:t>
        </x:is>
      </x:c>
      <x:c r="C4" s="10" t="inlineStr">
        <x:is>
          <x:t xml:space="preserve">Geo Prefab Ranco Servicios Integrados SpA</x:t>
        </x:is>
      </x:c>
      <x:c r="D4" s="9" t="inlineStr">
        <x:is>
          <x:t xml:space="preserve">76.000.428-6</x:t>
        </x:is>
      </x:c>
      <x:c r="E4" s="9" t="inlineStr">
        <x:is>
          <x:t xml:space="preserve">Sí</x:t>
        </x:is>
      </x:c>
      <x:c r="F4" s="9" t="n">
        <x:v>2024</x:v>
      </x:c>
      <x:c r="G4" s="10" t="inlineStr">
        <x:is>
          <x:t xml:space="preserve">MODULAR_TIMBER, SIP, HYBRID_MODULAR, STEEL_FRAME</x:t>
        </x:is>
      </x:c>
      <x:c r="H4" s="10" t="inlineStr">
        <x:is>
          <x:t xml:space="preserve">Procedimientos de soldadura calificados; Programa interno de trazabilidad de módulos; Protocolos internos SEC para instalaciones</x:t>
        </x:is>
      </x:c>
      <x:c r="I4" s="9" t="inlineStr">
        <x:is>
          <x:t xml:space="preserve">contacto@geoprefabrancospa.cl</x:t>
        </x:is>
      </x:c>
      <x:c r="J4" s="9" t="inlineStr">
        <x:is>
          <x:t xml:space="preserve">https://www.geoprefabrancospa.cl</x:t>
        </x:is>
      </x:c>
      <x:c r="K4" s="9" t="inlineStr">
        <x:is>
          <x:t xml:space="preserve">+56 9 8787 3705</x:t>
        </x:is>
      </x:c>
      <x:c r="L4" s="9" t="inlineStr">
        <x:is>
          <x:t xml:space="preserve">+56 51 6426448</x:t>
        </x:is>
      </x:c>
      <x:c r="M4" s="9" t="inlineStr">
        <x:is>
          <x:t xml:space="preserve">Camino Las Dunas 635</x:t>
        </x:is>
      </x:c>
      <x:c r="N4" s="9" t="inlineStr">
        <x:is>
          <x:t xml:space="preserve">Alto Hospicio</x:t>
        </x:is>
      </x:c>
      <x:c r="O4" s="9" t="inlineStr">
        <x:is>
          <x:t xml:space="preserve">Iquique</x:t>
        </x:is>
      </x:c>
      <x:c r="P4" s="9" t="inlineStr">
        <x:is>
          <x:t xml:space="preserve">Tarapacá</x:t>
        </x:is>
      </x:c>
      <x:c r="Q4" s="11" t="n">
        <x:v>-20.296995</x:v>
      </x:c>
      <x:c r="R4" s="11" t="n">
        <x:v>-70.137942</x:v>
      </x:c>
      <x:c r="S4" s="12" t="n">
        <x:v>5000</x:v>
      </x:c>
      <x:c r="T4" s="9" t="inlineStr">
        <x:is>
          <x:t xml:space="preserve">Sur austral</x:t>
        </x:is>
      </x:c>
      <x:c r="U4" s="10" t="inlineStr">
        <x:is>
          <x:t xml:space="preserve">Incluye coordinación de especialidades y transporte de módulos.</x:t>
        </x:is>
      </x:c>
      <x:c r="V4" s="13">
        <x:f>COUNTIF(Modelos_Casa!$B:$B,A4)</x:f>
        <x:v>5</x:v>
      </x:c>
      <x:c r="W4" s="13">
        <x:f>COUNTIF(Proyectos!$B:$B,A4)</x:f>
        <x:v>3</x:v>
      </x:c>
      <x:c r="X4" s="14">
        <x:f>SUMIF(Proyectos!$B:$B,A4,Proyectos!$H:$H)</x:f>
        <x:v>315.2</x:v>
      </x:c>
    </x:row>
    <x:row r="5" ht="18" customHeight="1">
      <x:c r="A5" s="9" t="inlineStr">
        <x:is>
          <x:t xml:space="preserve">EMP-004</x:t>
        </x:is>
      </x:c>
      <x:c r="B5" s="9" t="inlineStr">
        <x:is>
          <x:t xml:space="preserve">Vértice Frame Limarí SpA</x:t>
        </x:is>
      </x:c>
      <x:c r="C5" s="10" t="inlineStr">
        <x:is>
          <x:t xml:space="preserve">Vértice Frame Limarí Servicios Integrados SpA</x:t>
        </x:is>
      </x:c>
      <x:c r="D5" s="9" t="inlineStr">
        <x:is>
          <x:t xml:space="preserve">76.000.606-8</x:t>
        </x:is>
      </x:c>
      <x:c r="E5" s="9" t="inlineStr">
        <x:is>
          <x:t xml:space="preserve">Sí</x:t>
        </x:is>
      </x:c>
      <x:c r="F5" s="9" t="n">
        <x:v>2016</x:v>
      </x:c>
      <x:c r="G5" s="10" t="inlineStr">
        <x:is>
          <x:t xml:space="preserve">CONTAINER, HYBRID_MODULAR, SIP, STEEL_FRAME</x:t>
        </x:is>
      </x:c>
      <x:c r="H5" s="10" t="inlineStr">
        <x:is>
          <x:t xml:space="preserve">ISO 9001:2015; Plan de gestión de residuos de obra; Protocolos internos SEC para instalaciones</x:t>
        </x:is>
      </x:c>
      <x:c r="I5" s="9" t="inlineStr">
        <x:is>
          <x:t xml:space="preserve">contacto@verticeframelimari.cl</x:t>
        </x:is>
      </x:c>
      <x:c r="J5" s="9" t="inlineStr">
        <x:is>
          <x:t xml:space="preserve">https://www.verticeframelimari.cl</x:t>
        </x:is>
      </x:c>
      <x:c r="K5" s="9" t="inlineStr">
        <x:is>
          <x:t xml:space="preserve">+56 9 2982 5061</x:t>
        </x:is>
      </x:c>
      <x:c r="L5" s="9" t="inlineStr">
        <x:is>
          <x:t xml:space="preserve">+56 45 2537088</x:t>
        </x:is>
      </x:c>
      <x:c r="M5" s="9" t="inlineStr">
        <x:is>
          <x:t xml:space="preserve">Los Río Claro 2239</x:t>
        </x:is>
      </x:c>
      <x:c r="N5" s="9" t="inlineStr">
        <x:is>
          <x:t xml:space="preserve">Antofagasta</x:t>
        </x:is>
      </x:c>
      <x:c r="O5" s="9" t="inlineStr">
        <x:is>
          <x:t xml:space="preserve">Antofagasta</x:t>
        </x:is>
      </x:c>
      <x:c r="P5" s="9" t="inlineStr">
        <x:is>
          <x:t xml:space="preserve">Antofagasta</x:t>
        </x:is>
      </x:c>
      <x:c r="Q5" s="11" t="n">
        <x:v>-23.616828</x:v>
      </x:c>
      <x:c r="R5" s="11" t="n">
        <x:v>-70.413661</x:v>
      </x:c>
      <x:c r="S5" s="12" t="n">
        <x:v>6000</x:v>
      </x:c>
      <x:c r="T5" s="9" t="inlineStr">
        <x:is>
          <x:t xml:space="preserve">Macrozona norte</x:t>
        </x:is>
      </x:c>
      <x:c r="U5" s="10" t="inlineStr">
        <x:is>
          <x:t xml:space="preserve">Opera con fabricación en taller y montaje en sitio.</x:t>
        </x:is>
      </x:c>
      <x:c r="V5" s="13">
        <x:f>COUNTIF(Modelos_Casa!$B:$B,A5)</x:f>
        <x:v>5</x:v>
      </x:c>
      <x:c r="W5" s="13">
        <x:f>COUNTIF(Proyectos!$B:$B,A5)</x:f>
        <x:v>3</x:v>
      </x:c>
      <x:c r="X5" s="14">
        <x:f>SUMIF(Proyectos!$B:$B,A5,Proyectos!$H:$H)</x:f>
        <x:v>350.6</x:v>
      </x:c>
    </x:row>
    <x:row r="6" ht="18" customHeight="1">
      <x:c r="A6" s="9" t="inlineStr">
        <x:is>
          <x:t xml:space="preserve">EMP-005</x:t>
        </x:is>
      </x:c>
      <x:c r="B6" s="9" t="inlineStr">
        <x:is>
          <x:t xml:space="preserve">Sur Nexo Yelcho SpA</x:t>
        </x:is>
      </x:c>
      <x:c r="C6" s="10" t="inlineStr">
        <x:is>
          <x:t xml:space="preserve">Sur Nexo Yelcho Servicios Integrados SpA</x:t>
        </x:is>
      </x:c>
      <x:c r="D6" s="9" t="inlineStr">
        <x:is>
          <x:t xml:space="preserve">76.000.728-5</x:t>
        </x:is>
      </x:c>
      <x:c r="E6" s="9" t="inlineStr">
        <x:is>
          <x:t xml:space="preserve">Sí</x:t>
        </x:is>
      </x:c>
      <x:c r="F6" s="9" t="n">
        <x:v>2021</x:v>
      </x:c>
      <x:c r="G6" s="10" t="inlineStr">
        <x:is>
          <x:t xml:space="preserve">STEEL_FRAME, SIP, MODULAR_TIMBER, HYBRID_MODULAR</x:t>
        </x:is>
      </x:c>
      <x:c r="H6" s="10" t="inlineStr">
        <x:is>
          <x:t xml:space="preserve">Ensayos referenciales de panel SIP NCh3393; ISO 45001:2018; Protocolos internos SEC para instalaciones</x:t>
        </x:is>
      </x:c>
      <x:c r="I6" s="9" t="inlineStr">
        <x:is>
          <x:t xml:space="preserve">contacto@surnexoyelchospa.cl</x:t>
        </x:is>
      </x:c>
      <x:c r="J6" s="9" t="inlineStr">
        <x:is>
          <x:t xml:space="preserve">https://www.surnexoyelchospa.cl</x:t>
        </x:is>
      </x:c>
      <x:c r="K6" s="9" t="inlineStr">
        <x:is>
          <x:t xml:space="preserve">+56 9 2160 9423</x:t>
        </x:is>
      </x:c>
      <x:c r="L6" s="9" t="inlineStr">
        <x:is>
          <x:t xml:space="preserve">+56 45 4336036</x:t>
        </x:is>
      </x:c>
      <x:c r="M6" s="9" t="inlineStr">
        <x:is>
          <x:t xml:space="preserve">Ruta Los Canelos 248</x:t>
        </x:is>
      </x:c>
      <x:c r="N6" s="9" t="inlineStr">
        <x:is>
          <x:t xml:space="preserve">Calama</x:t>
        </x:is>
      </x:c>
      <x:c r="O6" s="9" t="inlineStr">
        <x:is>
          <x:t xml:space="preserve">Calama</x:t>
        </x:is>
      </x:c>
      <x:c r="P6" s="9" t="inlineStr">
        <x:is>
          <x:t xml:space="preserve">Antofagasta</x:t>
        </x:is>
      </x:c>
      <x:c r="Q6" s="11" t="n">
        <x:v>-22.525341</x:v>
      </x:c>
      <x:c r="R6" s="11" t="n">
        <x:v>-68.90272400000001</x:v>
      </x:c>
      <x:c r="S6" s="12" t="n">
        <x:v>6000</x:v>
      </x:c>
      <x:c r="T6" s="9" t="inlineStr">
        <x:is>
          <x:t xml:space="preserve">Nacional</x:t>
        </x:is>
      </x:c>
      <x:c r="U6" s="10" t="inlineStr">
        <x:is>
          <x:t xml:space="preserve">Enfoque en proyectos rurales, parcelas y segunda vivienda.</x:t>
        </x:is>
      </x:c>
      <x:c r="V6" s="13">
        <x:f>COUNTIF(Modelos_Casa!$B:$B,A6)</x:f>
        <x:v>5</x:v>
      </x:c>
      <x:c r="W6" s="13">
        <x:f>COUNTIF(Proyectos!$B:$B,A6)</x:f>
        <x:v>3</x:v>
      </x:c>
      <x:c r="X6" s="14">
        <x:f>SUMIF(Proyectos!$B:$B,A6,Proyectos!$H:$H)</x:f>
        <x:v>409.7</x:v>
      </x:c>
    </x:row>
    <x:row r="7" ht="18" customHeight="1">
      <x:c r="A7" s="9" t="inlineStr">
        <x:is>
          <x:t xml:space="preserve">EMP-006</x:t>
        </x:is>
      </x:c>
      <x:c r="B7" s="9" t="inlineStr">
        <x:is>
          <x:t xml:space="preserve">Andes Modular Lonquimay Ltda.</x:t>
        </x:is>
      </x:c>
      <x:c r="C7" s="10" t="inlineStr">
        <x:is>
          <x:t xml:space="preserve">Andes Modular Lonquimay Soluciones Habitacionales Ltda.</x:t>
        </x:is>
      </x:c>
      <x:c r="D7" s="9" t="inlineStr">
        <x:is>
          <x:t xml:space="preserve">76.000.835-4</x:t>
        </x:is>
      </x:c>
      <x:c r="E7" s="9" t="inlineStr">
        <x:is>
          <x:t xml:space="preserve">Sí</x:t>
        </x:is>
      </x:c>
      <x:c r="F7" s="9" t="n">
        <x:v>2018</x:v>
      </x:c>
      <x:c r="G7" s="10" t="inlineStr">
        <x:is>
          <x:t xml:space="preserve">SIP, MODULAR_TIMBER, STEEL_FRAME, HYBRID_MODULAR</x:t>
        </x:is>
      </x:c>
      <x:c r="H7" s="10" t="inlineStr">
        <x:is>
          <x:t xml:space="preserve">ISO 14001:2015; ISO 9001:2015; Programa interno de trazabilidad de módulos</x:t>
        </x:is>
      </x:c>
      <x:c r="I7" s="9" t="inlineStr">
        <x:is>
          <x:t xml:space="preserve">contacto@andesmodularlonqui.cl</x:t>
        </x:is>
      </x:c>
      <x:c r="J7" s="9" t="inlineStr">
        <x:is>
          <x:t xml:space="preserve">https://www.andesmodularlonqui.cl</x:t>
        </x:is>
      </x:c>
      <x:c r="K7" s="9" t="inlineStr">
        <x:is>
          <x:t xml:space="preserve">+56 9 8062 6804</x:t>
        </x:is>
      </x:c>
      <x:c r="L7" s="9" t="inlineStr">
        <x:is>
          <x:t xml:space="preserve">+56 53 5448575</x:t>
        </x:is>
      </x:c>
      <x:c r="M7" s="9" t="inlineStr">
        <x:is>
          <x:t xml:space="preserve">Parque La Montaña 506</x:t>
        </x:is>
      </x:c>
      <x:c r="N7" s="9" t="inlineStr">
        <x:is>
          <x:t xml:space="preserve">Copiapó</x:t>
        </x:is>
      </x:c>
      <x:c r="O7" s="9" t="inlineStr">
        <x:is>
          <x:t xml:space="preserve">Copiapó</x:t>
        </x:is>
      </x:c>
      <x:c r="P7" s="9" t="inlineStr">
        <x:is>
          <x:t xml:space="preserve">Atacama</x:t>
        </x:is>
      </x:c>
      <x:c r="Q7" s="11" t="n">
        <x:v>-27.40792</x:v>
      </x:c>
      <x:c r="R7" s="11" t="n">
        <x:v>-70.336224</x:v>
      </x:c>
      <x:c r="S7" s="12" t="n">
        <x:v>3600</x:v>
      </x:c>
      <x:c r="T7" s="9" t="inlineStr">
        <x:is>
          <x:t xml:space="preserve">Centro-sur</x:t>
        </x:is>
      </x:c>
      <x:c r="U7" s="10" t="inlineStr">
        <x:is>
          <x:t xml:space="preserve">Oferta orientada a viviendas llave en mano y ampliaciones.</x:t>
        </x:is>
      </x:c>
      <x:c r="V7" s="13">
        <x:f>COUNTIF(Modelos_Casa!$B:$B,A7)</x:f>
        <x:v>5</x:v>
      </x:c>
      <x:c r="W7" s="13">
        <x:f>COUNTIF(Proyectos!$B:$B,A7)</x:f>
        <x:v>3</x:v>
      </x:c>
      <x:c r="X7" s="14">
        <x:f>SUMIF(Proyectos!$B:$B,A7,Proyectos!$H:$H)</x:f>
        <x:v>356.6</x:v>
      </x:c>
    </x:row>
    <x:row r="8" ht="18" customHeight="1">
      <x:c r="A8" s="9" t="inlineStr">
        <x:is>
          <x:t xml:space="preserve">EMP-007</x:t>
        </x:is>
      </x:c>
      <x:c r="B8" s="9" t="inlineStr">
        <x:is>
          <x:t xml:space="preserve">Geo Frame Llanquihue Group SpA</x:t>
        </x:is>
      </x:c>
      <x:c r="C8" s="10" t="inlineStr">
        <x:is>
          <x:t xml:space="preserve">Geo Frame Llanquihue Group Servicios Integrados SpA</x:t>
        </x:is>
      </x:c>
      <x:c r="D8" s="9" t="inlineStr">
        <x:is>
          <x:t xml:space="preserve">76.001.017-0</x:t>
        </x:is>
      </x:c>
      <x:c r="E8" s="9" t="inlineStr">
        <x:is>
          <x:t xml:space="preserve">Sí</x:t>
        </x:is>
      </x:c>
      <x:c r="F8" s="9" t="n">
        <x:v>2018</x:v>
      </x:c>
      <x:c r="G8" s="10" t="inlineStr">
        <x:is>
          <x:t xml:space="preserve">SIP, STEEL_FRAME, CONTAINER, HYBRID_MODULAR</x:t>
        </x:is>
      </x:c>
      <x:c r="H8" s="10" t="inlineStr">
        <x:is>
          <x:t xml:space="preserve">Ensayos referenciales de panel SIP NCh3393; ISO 14001:2015; Protocolos internos SEC para instalaciones</x:t>
        </x:is>
      </x:c>
      <x:c r="I8" s="9" t="inlineStr">
        <x:is>
          <x:t xml:space="preserve">contacto@geoframellanquihue.cl</x:t>
        </x:is>
      </x:c>
      <x:c r="J8" s="9" t="inlineStr">
        <x:is>
          <x:t xml:space="preserve">https://www.geoframellanquihue.cl</x:t>
        </x:is>
      </x:c>
      <x:c r="K8" s="9" t="inlineStr">
        <x:is>
          <x:t xml:space="preserve">+56 9 3296 7912</x:t>
        </x:is>
      </x:c>
      <x:c r="L8" s="9" t="inlineStr">
        <x:is>
          <x:t xml:space="preserve">+56 41 4336606</x:t>
        </x:is>
      </x:c>
      <x:c r="M8" s="9" t="inlineStr">
        <x:is>
          <x:t xml:space="preserve">Ruta La Montaña 2316</x:t>
        </x:is>
      </x:c>
      <x:c r="N8" s="9" t="inlineStr">
        <x:is>
          <x:t xml:space="preserve">Vallenar</x:t>
        </x:is>
      </x:c>
      <x:c r="O8" s="9" t="inlineStr">
        <x:is>
          <x:t xml:space="preserve">Vallenar</x:t>
        </x:is>
      </x:c>
      <x:c r="P8" s="9" t="inlineStr">
        <x:is>
          <x:t xml:space="preserve">Atacama</x:t>
        </x:is>
      </x:c>
      <x:c r="Q8" s="11" t="n">
        <x:v>-28.528005</x:v>
      </x:c>
      <x:c r="R8" s="11" t="n">
        <x:v>-70.821917</x:v>
      </x:c>
      <x:c r="S8" s="12" t="n">
        <x:v>5000</x:v>
      </x:c>
      <x:c r="T8" s="9" t="inlineStr">
        <x:is>
          <x:t xml:space="preserve">Regional</x:t>
        </x:is>
      </x:c>
      <x:c r="U8" s="10" t="inlineStr">
        <x:is>
          <x:t xml:space="preserve">Opera con fabricación en taller y montaje en sitio.</x:t>
        </x:is>
      </x:c>
      <x:c r="V8" s="13">
        <x:f>COUNTIF(Modelos_Casa!$B:$B,A8)</x:f>
        <x:v>5</x:v>
      </x:c>
      <x:c r="W8" s="13">
        <x:f>COUNTIF(Proyectos!$B:$B,A8)</x:f>
        <x:v>3</x:v>
      </x:c>
      <x:c r="X8" s="14">
        <x:f>SUMIF(Proyectos!$B:$B,A8,Proyectos!$H:$H)</x:f>
        <x:v>350.3</x:v>
      </x:c>
    </x:row>
    <x:row r="9" ht="18" customHeight="1">
      <x:c r="A9" s="9" t="inlineStr">
        <x:is>
          <x:t xml:space="preserve">EMP-008</x:t>
        </x:is>
      </x:c>
      <x:c r="B9" s="9" t="inlineStr">
        <x:is>
          <x:t xml:space="preserve">Andes Frame Elqui Ltda.</x:t>
        </x:is>
      </x:c>
      <x:c r="C9" s="10" t="inlineStr">
        <x:is>
          <x:t xml:space="preserve">Andes Frame Elqui Soluciones Habitacionales Ltda.</x:t>
        </x:is>
      </x:c>
      <x:c r="D9" s="9" t="inlineStr">
        <x:is>
          <x:t xml:space="preserve">76.001.118-5</x:t>
        </x:is>
      </x:c>
      <x:c r="E9" s="9" t="inlineStr">
        <x:is>
          <x:t xml:space="preserve">Sí</x:t>
        </x:is>
      </x:c>
      <x:c r="F9" s="9" t="n">
        <x:v>2024</x:v>
      </x:c>
      <x:c r="G9" s="10" t="inlineStr">
        <x:is>
          <x:t xml:space="preserve">MODULAR_TIMBER, SIP, HYBRID_MODULAR, STEEL_FRAME</x:t>
        </x:is>
      </x:c>
      <x:c r="H9" s="10" t="inlineStr">
        <x:is>
          <x:t xml:space="preserve">ISO 45001:2018; ISO 9001:2015; Procedimientos de soldadura calificados</x:t>
        </x:is>
      </x:c>
      <x:c r="I9" s="9" t="inlineStr">
        <x:is>
          <x:t xml:space="preserve">contacto@andesframeelquiltd.cl</x:t>
        </x:is>
      </x:c>
      <x:c r="J9" s="9" t="inlineStr">
        <x:is>
          <x:t xml:space="preserve">https://www.andesframeelquiltd.cl</x:t>
        </x:is>
      </x:c>
      <x:c r="K9" s="9" t="inlineStr">
        <x:is>
          <x:t xml:space="preserve">+56 9 7658 8956</x:t>
        </x:is>
      </x:c>
      <x:c r="L9" s="9" t="inlineStr">
        <x:is>
          <x:t xml:space="preserve">+56 55 3793042</x:t>
        </x:is>
      </x:c>
      <x:c r="M9" s="9" t="inlineStr">
        <x:is>
          <x:t xml:space="preserve">Av. Los Canelos 1088</x:t>
        </x:is>
      </x:c>
      <x:c r="N9" s="9" t="inlineStr">
        <x:is>
          <x:t xml:space="preserve">La Serena</x:t>
        </x:is>
      </x:c>
      <x:c r="O9" s="9" t="inlineStr">
        <x:is>
          <x:t xml:space="preserve">La Serena</x:t>
        </x:is>
      </x:c>
      <x:c r="P9" s="9" t="inlineStr">
        <x:is>
          <x:t xml:space="preserve">Coquimbo</x:t>
        </x:is>
      </x:c>
      <x:c r="Q9" s="11" t="n">
        <x:v>-29.880157</x:v>
      </x:c>
      <x:c r="R9" s="11" t="n">
        <x:v>-71.242406</x:v>
      </x:c>
      <x:c r="S9" s="12" t="n">
        <x:v>3600</x:v>
      </x:c>
      <x:c r="T9" s="9" t="inlineStr">
        <x:is>
          <x:t xml:space="preserve">Regional</x:t>
        </x:is>
      </x:c>
      <x:c r="U9" s="10" t="inlineStr">
        <x:is>
          <x:t xml:space="preserve">Enfoque en proyectos rurales, parcelas y segunda vivienda.</x:t>
        </x:is>
      </x:c>
      <x:c r="V9" s="13">
        <x:f>COUNTIF(Modelos_Casa!$B:$B,A9)</x:f>
        <x:v>5</x:v>
      </x:c>
      <x:c r="W9" s="13">
        <x:f>COUNTIF(Proyectos!$B:$B,A9)</x:f>
        <x:v>3</x:v>
      </x:c>
      <x:c r="X9" s="14">
        <x:f>SUMIF(Proyectos!$B:$B,A9,Proyectos!$H:$H)</x:f>
        <x:v>277.7</x:v>
      </x:c>
    </x:row>
    <x:row r="10" ht="18" customHeight="1">
      <x:c r="A10" s="9" t="inlineStr">
        <x:is>
          <x:t xml:space="preserve">EMP-009</x:t>
        </x:is>
      </x:c>
      <x:c r="B10" s="9" t="inlineStr">
        <x:is>
          <x:t xml:space="preserve">Wenu Frame Bío Bío EIRL</x:t>
        </x:is>
      </x:c>
      <x:c r="C10" s="10" t="inlineStr">
        <x:is>
          <x:t xml:space="preserve">Wenu Frame Bío Bío Ingeniería Habitacional EIRL</x:t>
        </x:is>
      </x:c>
      <x:c r="D10" s="9" t="inlineStr">
        <x:is>
          <x:t xml:space="preserve">76.001.323-4</x:t>
        </x:is>
      </x:c>
      <x:c r="E10" s="9" t="inlineStr">
        <x:is>
          <x:t xml:space="preserve">Sí</x:t>
        </x:is>
      </x:c>
      <x:c r="F10" s="9" t="n">
        <x:v>2014</x:v>
      </x:c>
      <x:c r="G10" s="10" t="inlineStr">
        <x:is>
          <x:t xml:space="preserve">CONTAINER, HYBRID_MODULAR, SIP, STEEL_FRAME</x:t>
        </x:is>
      </x:c>
      <x:c r="H10" s="10" t="inlineStr">
        <x:is>
          <x:t xml:space="preserve">ISO 9001:2015; Plan de gestión de residuos de obra; Programa interno de trazabilidad de módulos</x:t>
        </x:is>
      </x:c>
      <x:c r="I10" s="9" t="inlineStr">
        <x:is>
          <x:t xml:space="preserve">contacto@wenuframebiobioeir.cl</x:t>
        </x:is>
      </x:c>
      <x:c r="J10" s="9" t="inlineStr">
        <x:is>
          <x:t xml:space="preserve">https://www.wenuframebiobioeir.cl</x:t>
        </x:is>
      </x:c>
      <x:c r="K10" s="9" t="inlineStr">
        <x:is>
          <x:t xml:space="preserve">+56 9 8973 3536</x:t>
        </x:is>
      </x:c>
      <x:c r="L10" s="9" t="inlineStr">
        <x:is>
          <x:t xml:space="preserve">+56 45 4488965</x:t>
        </x:is>
      </x:c>
      <x:c r="M10" s="9" t="inlineStr">
        <x:is>
          <x:t xml:space="preserve">Sendero Nueva Esperanza 1852</x:t>
        </x:is>
      </x:c>
      <x:c r="N10" s="9" t="inlineStr">
        <x:is>
          <x:t xml:space="preserve">Coquimbo</x:t>
        </x:is>
      </x:c>
      <x:c r="O10" s="9" t="inlineStr">
        <x:is>
          <x:t xml:space="preserve">Coquimbo</x:t>
        </x:is>
      </x:c>
      <x:c r="P10" s="9" t="inlineStr">
        <x:is>
          <x:t xml:space="preserve">Coquimbo</x:t>
        </x:is>
      </x:c>
      <x:c r="Q10" s="11" t="n">
        <x:v>-29.990868</x:v>
      </x:c>
      <x:c r="R10" s="11" t="n">
        <x:v>-71.298149</x:v>
      </x:c>
      <x:c r="S10" s="12" t="n">
        <x:v>3000</x:v>
      </x:c>
      <x:c r="T10" s="9" t="inlineStr">
        <x:is>
          <x:t xml:space="preserve">Regional</x:t>
        </x:is>
      </x:c>
      <x:c r="U10" s="10" t="inlineStr">
        <x:is>
          <x:t xml:space="preserve">Opera con fabricación en taller y montaje en sitio.</x:t>
        </x:is>
      </x:c>
      <x:c r="V10" s="13">
        <x:f>COUNTIF(Modelos_Casa!$B:$B,A10)</x:f>
        <x:v>5</x:v>
      </x:c>
      <x:c r="W10" s="13">
        <x:f>COUNTIF(Proyectos!$B:$B,A10)</x:f>
        <x:v>3</x:v>
      </x:c>
      <x:c r="X10" s="14">
        <x:f>SUMIF(Proyectos!$B:$B,A10,Proyectos!$H:$H)</x:f>
        <x:v>279.4</x:v>
      </x:c>
    </x:row>
    <x:row r="11" ht="18" customHeight="1">
      <x:c r="A11" s="9" t="inlineStr">
        <x:is>
          <x:t xml:space="preserve">EMP-010</x:t>
        </x:is>
      </x:c>
      <x:c r="B11" s="9" t="inlineStr">
        <x:is>
          <x:t xml:space="preserve">Geo Módulo Malleco Group SpA</x:t>
        </x:is>
      </x:c>
      <x:c r="C11" s="10" t="inlineStr">
        <x:is>
          <x:t xml:space="preserve">Geo Módulo Malleco Group Servicios Integrados SpA</x:t>
        </x:is>
      </x:c>
      <x:c r="D11" s="9" t="inlineStr">
        <x:is>
          <x:t xml:space="preserve">76.001.381-1</x:t>
        </x:is>
      </x:c>
      <x:c r="E11" s="9" t="inlineStr">
        <x:is>
          <x:t xml:space="preserve">Sí</x:t>
        </x:is>
      </x:c>
      <x:c r="F11" s="9" t="n">
        <x:v>2021</x:v>
      </x:c>
      <x:c r="G11" s="10" t="inlineStr">
        <x:is>
          <x:t xml:space="preserve">STEEL_FRAME, SIP, MODULAR_TIMBER, HYBRID_MODULAR</x:t>
        </x:is>
      </x:c>
      <x:c r="H11" s="10" t="inlineStr">
        <x:is>
          <x:t xml:space="preserve">ISO 14001:2015; Procedimientos de soldadura calificados; Protocolos internos SEC para instalaciones</x:t>
        </x:is>
      </x:c>
      <x:c r="I11" s="9" t="inlineStr">
        <x:is>
          <x:t xml:space="preserve">contacto@geomodulomallecogr.cl</x:t>
        </x:is>
      </x:c>
      <x:c r="J11" s="9" t="inlineStr">
        <x:is>
          <x:t xml:space="preserve">https://www.geomodulomallecogr.cl</x:t>
        </x:is>
      </x:c>
      <x:c r="K11" s="9" t="inlineStr">
        <x:is>
          <x:t xml:space="preserve">+56 9 4044 2122</x:t>
        </x:is>
      </x:c>
      <x:c r="L11" s="9" t="inlineStr">
        <x:is>
          <x:t xml:space="preserve">+56 61 2570097</x:t>
        </x:is>
      </x:c>
      <x:c r="M11" s="9" t="inlineStr">
        <x:is>
          <x:t xml:space="preserve">Pasaje Taller del Pacífico 2200</x:t>
        </x:is>
      </x:c>
      <x:c r="N11" s="9" t="inlineStr">
        <x:is>
          <x:t xml:space="preserve">Ovalle</x:t>
        </x:is>
      </x:c>
      <x:c r="O11" s="9" t="inlineStr">
        <x:is>
          <x:t xml:space="preserve">Ovalle</x:t>
        </x:is>
      </x:c>
      <x:c r="P11" s="9" t="inlineStr">
        <x:is>
          <x:t xml:space="preserve">Coquimbo</x:t>
        </x:is>
      </x:c>
      <x:c r="Q11" s="11" t="n">
        <x:v>-30.590232</x:v>
      </x:c>
      <x:c r="R11" s="11" t="n">
        <x:v>-71.199844</x:v>
      </x:c>
      <x:c r="S11" s="12" t="n">
        <x:v>6000</x:v>
      </x:c>
      <x:c r="T11" s="9" t="inlineStr">
        <x:is>
          <x:t xml:space="preserve">Macrozona norte</x:t>
        </x:is>
      </x:c>
      <x:c r="U11" s="10" t="inlineStr">
        <x:is>
          <x:t xml:space="preserve">Especialista en soluciones de rápida instalación.</x:t>
        </x:is>
      </x:c>
      <x:c r="V11" s="13">
        <x:f>COUNTIF(Modelos_Casa!$B:$B,A11)</x:f>
        <x:v>5</x:v>
      </x:c>
      <x:c r="W11" s="13">
        <x:f>COUNTIF(Proyectos!$B:$B,A11)</x:f>
        <x:v>3</x:v>
      </x:c>
      <x:c r="X11" s="14">
        <x:f>SUMIF(Proyectos!$B:$B,A11,Proyectos!$H:$H)</x:f>
        <x:v>218.1</x:v>
      </x:c>
    </x:row>
    <x:row r="12" ht="18" customHeight="1">
      <x:c r="A12" s="9" t="inlineStr">
        <x:is>
          <x:t xml:space="preserve">EMP-011</x:t>
        </x:is>
      </x:c>
      <x:c r="B12" s="9" t="inlineStr">
        <x:is>
          <x:t xml:space="preserve">Habita Panel Puyehue Ltda.</x:t>
        </x:is>
      </x:c>
      <x:c r="C12" s="10" t="inlineStr">
        <x:is>
          <x:t xml:space="preserve">Habita Panel Puyehue Soluciones Habitacionales Ltda.</x:t>
        </x:is>
      </x:c>
      <x:c r="D12" s="9" t="inlineStr">
        <x:is>
          <x:t xml:space="preserve">76.001.580-6</x:t>
        </x:is>
      </x:c>
      <x:c r="E12" s="9" t="inlineStr">
        <x:is>
          <x:t xml:space="preserve">Sí</x:t>
        </x:is>
      </x:c>
      <x:c r="F12" s="9" t="n">
        <x:v>2021</x:v>
      </x:c>
      <x:c r="G12" s="10" t="inlineStr">
        <x:is>
          <x:t xml:space="preserve">SIP, MODULAR_TIMBER, STEEL_FRAME, HYBRID_MODULAR</x:t>
        </x:is>
      </x:c>
      <x:c r="H12" s="10" t="inlineStr">
        <x:is>
          <x:t xml:space="preserve">Cadena de custodia FSC (madera); Control dimensional BIM en taller; Protocolos internos SEC para instalaciones</x:t>
        </x:is>
      </x:c>
      <x:c r="I12" s="9" t="inlineStr">
        <x:is>
          <x:t xml:space="preserve">contacto@habitapanelpuyehue.cl</x:t>
        </x:is>
      </x:c>
      <x:c r="J12" s="9" t="inlineStr">
        <x:is>
          <x:t xml:space="preserve">https://www.habitapanelpuyehue.cl</x:t>
        </x:is>
      </x:c>
      <x:c r="K12" s="9" t="inlineStr">
        <x:is>
          <x:t xml:space="preserve">+56 9 9565 6183</x:t>
        </x:is>
      </x:c>
      <x:c r="L12" s="9" t="inlineStr">
        <x:is>
          <x:t xml:space="preserve">+56 51 3713450</x:t>
        </x:is>
      </x:c>
      <x:c r="M12" s="9" t="inlineStr">
        <x:is>
          <x:t xml:space="preserve">Parque Las Quemas 2510</x:t>
        </x:is>
      </x:c>
      <x:c r="N12" s="9" t="inlineStr">
        <x:is>
          <x:t xml:space="preserve">Viña del Mar</x:t>
        </x:is>
      </x:c>
      <x:c r="O12" s="9" t="inlineStr">
        <x:is>
          <x:t xml:space="preserve">Viña del Mar</x:t>
        </x:is>
      </x:c>
      <x:c r="P12" s="9" t="inlineStr">
        <x:is>
          <x:t xml:space="preserve">Valparaíso</x:t>
        </x:is>
      </x:c>
      <x:c r="Q12" s="11" t="n">
        <x:v>-33.000177</x:v>
      </x:c>
      <x:c r="R12" s="11" t="n">
        <x:v>-71.53089900000001</x:v>
      </x:c>
      <x:c r="S12" s="12" t="n">
        <x:v>3600</x:v>
      </x:c>
      <x:c r="T12" s="9" t="inlineStr">
        <x:is>
          <x:t xml:space="preserve">Macrozona norte</x:t>
        </x:is>
      </x:c>
      <x:c r="U12" s="10" t="inlineStr">
        <x:is>
          <x:t xml:space="preserve">Oferta orientada a viviendas llave en mano y ampliaciones.</x:t>
        </x:is>
      </x:c>
      <x:c r="V12" s="13">
        <x:f>COUNTIF(Modelos_Casa!$B:$B,A12)</x:f>
        <x:v>5</x:v>
      </x:c>
      <x:c r="W12" s="13">
        <x:f>COUNTIF(Proyectos!$B:$B,A12)</x:f>
        <x:v>3</x:v>
      </x:c>
      <x:c r="X12" s="14">
        <x:f>SUMIF(Proyectos!$B:$B,A12,Proyectos!$H:$H)</x:f>
        <x:v>348.5</x:v>
      </x:c>
    </x:row>
    <x:row r="13" ht="18" customHeight="1">
      <x:c r="A13" s="9" t="inlineStr">
        <x:is>
          <x:t xml:space="preserve">EMP-012</x:t>
        </x:is>
      </x:c>
      <x:c r="B13" s="9" t="inlineStr">
        <x:is>
          <x:t xml:space="preserve">Wenu Nexo Cautín S.A.</x:t>
        </x:is>
      </x:c>
      <x:c r="C13" s="10" t="inlineStr">
        <x:is>
          <x:t xml:space="preserve">Wenu Nexo Cautín Industrial Prefabricada S.A.</x:t>
        </x:is>
      </x:c>
      <x:c r="D13" s="9" t="inlineStr">
        <x:is>
          <x:t xml:space="preserve">76.001.724-8</x:t>
        </x:is>
      </x:c>
      <x:c r="E13" s="9" t="inlineStr">
        <x:is>
          <x:t xml:space="preserve">Sí</x:t>
        </x:is>
      </x:c>
      <x:c r="F13" s="9" t="n">
        <x:v>2019</x:v>
      </x:c>
      <x:c r="G13" s="10" t="inlineStr">
        <x:is>
          <x:t xml:space="preserve">SIP, STEEL_FRAME, CONTAINER, HYBRID_MODULAR</x:t>
        </x:is>
      </x:c>
      <x:c r="H13" s="10" t="inlineStr">
        <x:is>
          <x:t xml:space="preserve">Cadena de custodia FSC (madera); Control dimensional BIM en taller; ISO 45001:2018</x:t>
        </x:is>
      </x:c>
      <x:c r="I13" s="9" t="inlineStr">
        <x:is>
          <x:t xml:space="preserve">contacto@wenunexocautinsa.cl</x:t>
        </x:is>
      </x:c>
      <x:c r="J13" s="9" t="inlineStr">
        <x:is>
          <x:t xml:space="preserve">https://www.wenunexocautinsa.cl</x:t>
        </x:is>
      </x:c>
      <x:c r="K13" s="9" t="inlineStr">
        <x:is>
          <x:t xml:space="preserve">+56 9 2638 2200</x:t>
        </x:is>
      </x:c>
      <x:c r="L13" s="9" t="inlineStr">
        <x:is>
          <x:t xml:space="preserve">+56 57 3788067</x:t>
        </x:is>
      </x:c>
      <x:c r="M13" s="9" t="inlineStr">
        <x:is>
          <x:t xml:space="preserve">Camino Los Carpinteros 1997</x:t>
        </x:is>
      </x:c>
      <x:c r="N13" s="9" t="inlineStr">
        <x:is>
          <x:t xml:space="preserve">Valparaíso</x:t>
        </x:is>
      </x:c>
      <x:c r="O13" s="9" t="inlineStr">
        <x:is>
          <x:t xml:space="preserve">Valparaíso</x:t>
        </x:is>
      </x:c>
      <x:c r="P13" s="9" t="inlineStr">
        <x:is>
          <x:t xml:space="preserve">Valparaíso</x:t>
        </x:is>
      </x:c>
      <x:c r="Q13" s="11" t="n">
        <x:v>-33.054044</x:v>
      </x:c>
      <x:c r="R13" s="11" t="n">
        <x:v>-71.544057</x:v>
      </x:c>
      <x:c r="S13" s="12" t="n">
        <x:v>1500</x:v>
      </x:c>
      <x:c r="T13" s="9" t="inlineStr">
        <x:is>
          <x:t xml:space="preserve">Macrozona norte</x:t>
        </x:is>
      </x:c>
      <x:c r="U13" s="10" t="inlineStr">
        <x:is>
          <x:t xml:space="preserve">Oferta orientada a viviendas llave en mano y ampliaciones.</x:t>
        </x:is>
      </x:c>
      <x:c r="V13" s="13">
        <x:f>COUNTIF(Modelos_Casa!$B:$B,A13)</x:f>
        <x:v>5</x:v>
      </x:c>
      <x:c r="W13" s="13">
        <x:f>COUNTIF(Proyectos!$B:$B,A13)</x:f>
        <x:v>3</x:v>
      </x:c>
      <x:c r="X13" s="14">
        <x:f>SUMIF(Proyectos!$B:$B,A13,Proyectos!$H:$H)</x:f>
        <x:v>346.4</x:v>
      </x:c>
    </x:row>
    <x:row r="14" ht="18" customHeight="1">
      <x:c r="A14" s="9" t="inlineStr">
        <x:is>
          <x:t xml:space="preserve">EMP-013</x:t>
        </x:is>
      </x:c>
      <x:c r="B14" s="9" t="inlineStr">
        <x:is>
          <x:t xml:space="preserve">Habita Prefab Maule Ltda.</x:t>
        </x:is>
      </x:c>
      <x:c r="C14" s="10" t="inlineStr">
        <x:is>
          <x:t xml:space="preserve">Habita Prefab Maule Soluciones Habitacionales Ltda.</x:t>
        </x:is>
      </x:c>
      <x:c r="D14" s="9" t="inlineStr">
        <x:is>
          <x:t xml:space="preserve">76.001.849-K</x:t>
        </x:is>
      </x:c>
      <x:c r="E14" s="9" t="inlineStr">
        <x:is>
          <x:t xml:space="preserve">Sí</x:t>
        </x:is>
      </x:c>
      <x:c r="F14" s="9" t="n">
        <x:v>2013</x:v>
      </x:c>
      <x:c r="G14" s="10" t="inlineStr">
        <x:is>
          <x:t xml:space="preserve">MODULAR_TIMBER, SIP, HYBRID_MODULAR, STEEL_FRAME</x:t>
        </x:is>
      </x:c>
      <x:c r="H14" s="10" t="inlineStr">
        <x:is>
          <x:t xml:space="preserve">Control dimensional BIM en taller; ISO 14001:2015; Plan de gestión de residuos de obra</x:t>
        </x:is>
      </x:c>
      <x:c r="I14" s="9" t="inlineStr">
        <x:is>
          <x:t xml:space="preserve">contacto@habitaprefabmaulel.cl</x:t>
        </x:is>
      </x:c>
      <x:c r="J14" s="9" t="inlineStr">
        <x:is>
          <x:t xml:space="preserve">https://www.habitaprefabmaulel.cl</x:t>
        </x:is>
      </x:c>
      <x:c r="K14" s="9" t="inlineStr">
        <x:is>
          <x:t xml:space="preserve">+56 9 1128 5905</x:t>
        </x:is>
      </x:c>
      <x:c r="L14" s="9" t="inlineStr">
        <x:is>
          <x:t xml:space="preserve">+56 63 2868946</x:t>
        </x:is>
      </x:c>
      <x:c r="M14" s="9" t="inlineStr">
        <x:is>
          <x:t xml:space="preserve">Calle Radal 2798</x:t>
        </x:is>
      </x:c>
      <x:c r="N14" s="9" t="inlineStr">
        <x:is>
          <x:t xml:space="preserve">Quilpué</x:t>
        </x:is>
      </x:c>
      <x:c r="O14" s="9" t="inlineStr">
        <x:is>
          <x:t xml:space="preserve">Quilpué</x:t>
        </x:is>
      </x:c>
      <x:c r="P14" s="9" t="inlineStr">
        <x:is>
          <x:t xml:space="preserve">Valparaíso</x:t>
        </x:is>
      </x:c>
      <x:c r="Q14" s="11" t="n">
        <x:v>-33.080202</x:v>
      </x:c>
      <x:c r="R14" s="11" t="n">
        <x:v>-71.45929</x:v>
      </x:c>
      <x:c r="S14" s="12" t="n">
        <x:v>5000</x:v>
      </x:c>
      <x:c r="T14" s="9" t="inlineStr">
        <x:is>
          <x:t xml:space="preserve">Macrozona norte</x:t>
        </x:is>
      </x:c>
      <x:c r="U14" s="10" t="inlineStr">
        <x:is>
          <x:t xml:space="preserve">Oferta orientada a viviendas llave en mano y ampliaciones.</x:t>
        </x:is>
      </x:c>
      <x:c r="V14" s="13">
        <x:f>COUNTIF(Modelos_Casa!$B:$B,A14)</x:f>
        <x:v>5</x:v>
      </x:c>
      <x:c r="W14" s="13">
        <x:f>COUNTIF(Proyectos!$B:$B,A14)</x:f>
        <x:v>3</x:v>
      </x:c>
      <x:c r="X14" s="14">
        <x:f>SUMIF(Proyectos!$B:$B,A14,Proyectos!$H:$H)</x:f>
        <x:v>543</x:v>
      </x:c>
    </x:row>
    <x:row r="15" ht="18" customHeight="1">
      <x:c r="A15" s="9" t="inlineStr">
        <x:is>
          <x:t xml:space="preserve">EMP-014</x:t>
        </x:is>
      </x:c>
      <x:c r="B15" s="9" t="inlineStr">
        <x:is>
          <x:t xml:space="preserve">Yelcho Vivienda Itata SpA</x:t>
        </x:is>
      </x:c>
      <x:c r="C15" s="10" t="inlineStr">
        <x:is>
          <x:t xml:space="preserve">Yelcho Vivienda Itata Servicios Integrados SpA</x:t>
        </x:is>
      </x:c>
      <x:c r="D15" s="9" t="inlineStr">
        <x:is>
          <x:t xml:space="preserve">76.001.952-6</x:t>
        </x:is>
      </x:c>
      <x:c r="E15" s="9" t="inlineStr">
        <x:is>
          <x:t xml:space="preserve">Sí</x:t>
        </x:is>
      </x:c>
      <x:c r="F15" s="9" t="n">
        <x:v>2012</x:v>
      </x:c>
      <x:c r="G15" s="10" t="inlineStr">
        <x:is>
          <x:t xml:space="preserve">CONTAINER, HYBRID_MODULAR, SIP, STEEL_FRAME</x:t>
        </x:is>
      </x:c>
      <x:c r="H15" s="10" t="inlineStr">
        <x:is>
          <x:t xml:space="preserve">Control dimensional BIM en taller; ISO 9001:2015; Procedimientos de soldadura calificados</x:t>
        </x:is>
      </x:c>
      <x:c r="I15" s="9" t="inlineStr">
        <x:is>
          <x:t xml:space="preserve">contacto@yelchoviviendaitat.cl</x:t>
        </x:is>
      </x:c>
      <x:c r="J15" s="9" t="inlineStr">
        <x:is>
          <x:t xml:space="preserve">https://www.yelchoviviendaitat.cl</x:t>
        </x:is>
      </x:c>
      <x:c r="K15" s="9" t="inlineStr">
        <x:is>
          <x:t xml:space="preserve">+56 9 9280 9004</x:t>
        </x:is>
      </x:c>
      <x:c r="L15" s="9" t="inlineStr">
        <x:is>
          <x:t xml:space="preserve">+56 51 2426132</x:t>
        </x:is>
      </x:c>
      <x:c r="M15" s="9" t="inlineStr">
        <x:is>
          <x:t xml:space="preserve">Los La Montaña 2717</x:t>
        </x:is>
      </x:c>
      <x:c r="N15" s="9" t="inlineStr">
        <x:is>
          <x:t xml:space="preserve">Santiago</x:t>
        </x:is>
      </x:c>
      <x:c r="O15" s="9" t="inlineStr">
        <x:is>
          <x:t xml:space="preserve">Santiago</x:t>
        </x:is>
      </x:c>
      <x:c r="P15" s="9" t="inlineStr">
        <x:is>
          <x:t xml:space="preserve">Metropolitana de Santiago</x:t>
        </x:is>
      </x:c>
      <x:c r="Q15" s="11" t="n">
        <x:v>-33.483819</x:v>
      </x:c>
      <x:c r="R15" s="11" t="n">
        <x:v>-70.715599</x:v>
      </x:c>
      <x:c r="S15" s="12" t="n">
        <x:v>1200</x:v>
      </x:c>
      <x:c r="T15" s="9" t="inlineStr">
        <x:is>
          <x:t xml:space="preserve">Macrozona centro</x:t>
        </x:is>
      </x:c>
      <x:c r="U15" s="10" t="inlineStr">
        <x:is>
          <x:t xml:space="preserve">Incluye coordinación de especialidades y transporte de módulos.</x:t>
        </x:is>
      </x:c>
      <x:c r="V15" s="13">
        <x:f>COUNTIF(Modelos_Casa!$B:$B,A15)</x:f>
        <x:v>5</x:v>
      </x:c>
      <x:c r="W15" s="13">
        <x:f>COUNTIF(Proyectos!$B:$B,A15)</x:f>
        <x:v>3</x:v>
      </x:c>
      <x:c r="X15" s="14">
        <x:f>SUMIF(Proyectos!$B:$B,A15,Proyectos!$H:$H)</x:f>
        <x:v>451.4</x:v>
      </x:c>
    </x:row>
    <x:row r="16" ht="18" customHeight="1">
      <x:c r="A16" s="9" t="inlineStr">
        <x:is>
          <x:t xml:space="preserve">EMP-015</x:t>
        </x:is>
      </x:c>
      <x:c r="B16" s="9" t="inlineStr">
        <x:is>
          <x:t xml:space="preserve">Bosque Nexo Palena SpA</x:t>
        </x:is>
      </x:c>
      <x:c r="C16" s="10" t="inlineStr">
        <x:is>
          <x:t xml:space="preserve">Bosque Nexo Palena Servicios Integrados SpA</x:t>
        </x:is>
      </x:c>
      <x:c r="D16" s="9" t="inlineStr">
        <x:is>
          <x:t xml:space="preserve">76.002.127-K</x:t>
        </x:is>
      </x:c>
      <x:c r="E16" s="9" t="inlineStr">
        <x:is>
          <x:t xml:space="preserve">Sí</x:t>
        </x:is>
      </x:c>
      <x:c r="F16" s="9" t="n">
        <x:v>2013</x:v>
      </x:c>
      <x:c r="G16" s="10" t="inlineStr">
        <x:is>
          <x:t xml:space="preserve">STEEL_FRAME, SIP, MODULAR_TIMBER, HYBRID_MODULAR</x:t>
        </x:is>
      </x:c>
      <x:c r="H16" s="10" t="inlineStr">
        <x:is>
          <x:t xml:space="preserve">Cadena de custodia FSC (madera); ISO 9001:2015; Plan de gestión de residuos de obra</x:t>
        </x:is>
      </x:c>
      <x:c r="I16" s="9" t="inlineStr">
        <x:is>
          <x:t xml:space="preserve">contacto@bosquenexopalenasp.cl</x:t>
        </x:is>
      </x:c>
      <x:c r="J16" s="9" t="inlineStr">
        <x:is>
          <x:t xml:space="preserve">https://www.bosquenexopalenasp.cl</x:t>
        </x:is>
      </x:c>
      <x:c r="K16" s="9" t="inlineStr">
        <x:is>
          <x:t xml:space="preserve">+56 9 1158 2832</x:t>
        </x:is>
      </x:c>
      <x:c r="L16" s="9" t="inlineStr">
        <x:is>
          <x:t xml:space="preserve">+56 32 7796692</x:t>
        </x:is>
      </x:c>
      <x:c r="M16" s="9" t="inlineStr">
        <x:is>
          <x:t xml:space="preserve">Sendero Las Dunas 1871</x:t>
        </x:is>
      </x:c>
      <x:c r="N16" s="9" t="inlineStr">
        <x:is>
          <x:t xml:space="preserve">Colina</x:t>
        </x:is>
      </x:c>
      <x:c r="O16" s="9" t="inlineStr">
        <x:is>
          <x:t xml:space="preserve">Santiago</x:t>
        </x:is>
      </x:c>
      <x:c r="P16" s="9" t="inlineStr">
        <x:is>
          <x:t xml:space="preserve">Metropolitana de Santiago</x:t>
        </x:is>
      </x:c>
      <x:c r="Q16" s="11" t="n">
        <x:v>-33.177662</x:v>
      </x:c>
      <x:c r="R16" s="11" t="n">
        <x:v>-70.709587</x:v>
      </x:c>
      <x:c r="S16" s="12" t="n">
        <x:v>6000</x:v>
      </x:c>
      <x:c r="T16" s="9" t="inlineStr">
        <x:is>
          <x:t xml:space="preserve">Nacional</x:t>
        </x:is>
      </x:c>
      <x:c r="U16" s="10" t="inlineStr">
        <x:is>
          <x:t xml:space="preserve">Incluye coordinación de especialidades y transporte de módulos.</x:t>
        </x:is>
      </x:c>
      <x:c r="V16" s="13">
        <x:f>COUNTIF(Modelos_Casa!$B:$B,A16)</x:f>
        <x:v>5</x:v>
      </x:c>
      <x:c r="W16" s="13">
        <x:f>COUNTIF(Proyectos!$B:$B,A16)</x:f>
        <x:v>3</x:v>
      </x:c>
      <x:c r="X16" s="14">
        <x:f>SUMIF(Proyectos!$B:$B,A16,Proyectos!$H:$H)</x:f>
        <x:v>347</x:v>
      </x:c>
    </x:row>
    <x:row r="17" ht="18" customHeight="1">
      <x:c r="A17" s="9" t="inlineStr">
        <x:is>
          <x:t xml:space="preserve">EMP-016</x:t>
        </x:is>
      </x:c>
      <x:c r="B17" s="9" t="inlineStr">
        <x:is>
          <x:t xml:space="preserve">Lenga Vivienda Toltén Group SpA</x:t>
        </x:is>
      </x:c>
      <x:c r="C17" s="10" t="inlineStr">
        <x:is>
          <x:t xml:space="preserve">Lenga Vivienda Toltén Group Servicios Integrados SpA</x:t>
        </x:is>
      </x:c>
      <x:c r="D17" s="9" t="inlineStr">
        <x:is>
          <x:t xml:space="preserve">76.002.219-5</x:t>
        </x:is>
      </x:c>
      <x:c r="E17" s="9" t="inlineStr">
        <x:is>
          <x:t xml:space="preserve">Sí</x:t>
        </x:is>
      </x:c>
      <x:c r="F17" s="9" t="n">
        <x:v>2019</x:v>
      </x:c>
      <x:c r="G17" s="10" t="inlineStr">
        <x:is>
          <x:t xml:space="preserve">SIP, MODULAR_TIMBER, STEEL_FRAME, HYBRID_MODULAR</x:t>
        </x:is>
      </x:c>
      <x:c r="H17" s="10" t="inlineStr">
        <x:is>
          <x:t xml:space="preserve">ISO 45001:2018; Procedimientos de soldadura calificados; Protocolos internos SEC para instalaciones</x:t>
        </x:is>
      </x:c>
      <x:c r="I17" s="9" t="inlineStr">
        <x:is>
          <x:t xml:space="preserve">contacto@lengaviviendatolte.cl</x:t>
        </x:is>
      </x:c>
      <x:c r="J17" s="9" t="inlineStr">
        <x:is>
          <x:t xml:space="preserve">https://www.lengaviviendatolte.cl</x:t>
        </x:is>
      </x:c>
      <x:c r="K17" s="9" t="inlineStr">
        <x:is>
          <x:t xml:space="preserve">+56 9 5088 2684</x:t>
        </x:is>
      </x:c>
      <x:c r="L17" s="9" t="inlineStr">
        <x:is>
          <x:t xml:space="preserve">+56 52 8544089</x:t>
        </x:is>
      </x:c>
      <x:c r="M17" s="9" t="inlineStr">
        <x:is>
          <x:t xml:space="preserve">Los Taller del Pacífico 1585</x:t>
        </x:is>
      </x:c>
      <x:c r="N17" s="9" t="inlineStr">
        <x:is>
          <x:t xml:space="preserve">Lampa</x:t>
        </x:is>
      </x:c>
      <x:c r="O17" s="9" t="inlineStr">
        <x:is>
          <x:t xml:space="preserve">Santiago</x:t>
        </x:is>
      </x:c>
      <x:c r="P17" s="9" t="inlineStr">
        <x:is>
          <x:t xml:space="preserve">Metropolitana de Santiago</x:t>
        </x:is>
      </x:c>
      <x:c r="Q17" s="11" t="n">
        <x:v>-33.297434</x:v>
      </x:c>
      <x:c r="R17" s="11" t="n">
        <x:v>-70.94900699999999</x:v>
      </x:c>
      <x:c r="S17" s="12" t="n">
        <x:v>1800</x:v>
      </x:c>
      <x:c r="T17" s="9" t="inlineStr">
        <x:is>
          <x:t xml:space="preserve">Sur austral</x:t>
        </x:is>
      </x:c>
      <x:c r="U17" s="10" t="inlineStr">
        <x:is>
          <x:t xml:space="preserve">Incluye coordinación de especialidades y transporte de módulos.</x:t>
        </x:is>
      </x:c>
      <x:c r="V17" s="13">
        <x:f>COUNTIF(Modelos_Casa!$B:$B,A17)</x:f>
        <x:v>5</x:v>
      </x:c>
      <x:c r="W17" s="13">
        <x:f>COUNTIF(Proyectos!$B:$B,A17)</x:f>
        <x:v>3</x:v>
      </x:c>
      <x:c r="X17" s="14">
        <x:f>SUMIF(Proyectos!$B:$B,A17,Proyectos!$H:$H)</x:f>
        <x:v>239.9</x:v>
      </x:c>
    </x:row>
    <x:row r="18" ht="18" customHeight="1">
      <x:c r="A18" s="9" t="inlineStr">
        <x:is>
          <x:t xml:space="preserve">EMP-017</x:t>
        </x:is>
      </x:c>
      <x:c r="B18" s="9" t="inlineStr">
        <x:is>
          <x:t xml:space="preserve">Habita Panel Choapa EIRL</x:t>
        </x:is>
      </x:c>
      <x:c r="C18" s="10" t="inlineStr">
        <x:is>
          <x:t xml:space="preserve">Habita Panel Choapa Ingeniería Habitacional EIRL</x:t>
        </x:is>
      </x:c>
      <x:c r="D18" s="9" t="inlineStr">
        <x:is>
          <x:t xml:space="preserve">76.002.361-2</x:t>
        </x:is>
      </x:c>
      <x:c r="E18" s="9" t="inlineStr">
        <x:is>
          <x:t xml:space="preserve">Sí</x:t>
        </x:is>
      </x:c>
      <x:c r="F18" s="9" t="n">
        <x:v>2012</x:v>
      </x:c>
      <x:c r="G18" s="10" t="inlineStr">
        <x:is>
          <x:t xml:space="preserve">SIP, STEEL_FRAME, CONTAINER, HYBRID_MODULAR</x:t>
        </x:is>
      </x:c>
      <x:c r="H18" s="10" t="inlineStr">
        <x:is>
          <x:t xml:space="preserve">Ensayos referenciales de panel SIP NCh3393; ISO 9001:2015; Procedimientos de soldadura calificados</x:t>
        </x:is>
      </x:c>
      <x:c r="I18" s="9" t="inlineStr">
        <x:is>
          <x:t xml:space="preserve">contacto@habitapanelchoapae.cl</x:t>
        </x:is>
      </x:c>
      <x:c r="J18" s="9" t="inlineStr">
        <x:is>
          <x:t xml:space="preserve">https://www.habitapanelchoapae.cl</x:t>
        </x:is>
      </x:c>
      <x:c r="K18" s="9" t="inlineStr">
        <x:is>
          <x:t xml:space="preserve">+56 9 5371 3608</x:t>
        </x:is>
      </x:c>
      <x:c r="L18" s="9" t="inlineStr">
        <x:is>
          <x:t xml:space="preserve">+56 65 7882747</x:t>
        </x:is>
      </x:c>
      <x:c r="M18" s="9" t="inlineStr">
        <x:is>
          <x:t xml:space="preserve">Los Las Bandurrias 2863</x:t>
        </x:is>
      </x:c>
      <x:c r="N18" s="9" t="inlineStr">
        <x:is>
          <x:t xml:space="preserve">Maipú</x:t>
        </x:is>
      </x:c>
      <x:c r="O18" s="9" t="inlineStr">
        <x:is>
          <x:t xml:space="preserve">Santiago</x:t>
        </x:is>
      </x:c>
      <x:c r="P18" s="9" t="inlineStr">
        <x:is>
          <x:t xml:space="preserve">Metropolitana de Santiago</x:t>
        </x:is>
      </x:c>
      <x:c r="Q18" s="11" t="n">
        <x:v>-33.449673</x:v>
      </x:c>
      <x:c r="R18" s="11" t="n">
        <x:v>-70.836634</x:v>
      </x:c>
      <x:c r="S18" s="12" t="n">
        <x:v>2200</x:v>
      </x:c>
      <x:c r="T18" s="9" t="inlineStr">
        <x:is>
          <x:t xml:space="preserve">Macrozona norte</x:t>
        </x:is>
      </x:c>
      <x:c r="U18" s="10" t="inlineStr">
        <x:is>
          <x:t xml:space="preserve">Enfoque en proyectos rurales, parcelas y segunda vivienda.</x:t>
        </x:is>
      </x:c>
      <x:c r="V18" s="13">
        <x:f>COUNTIF(Modelos_Casa!$B:$B,A18)</x:f>
        <x:v>5</x:v>
      </x:c>
      <x:c r="W18" s="13">
        <x:f>COUNTIF(Proyectos!$B:$B,A18)</x:f>
        <x:v>3</x:v>
      </x:c>
      <x:c r="X18" s="14">
        <x:f>SUMIF(Proyectos!$B:$B,A18,Proyectos!$H:$H)</x:f>
        <x:v>314.7</x:v>
      </x:c>
    </x:row>
    <x:row r="19" ht="18" customHeight="1">
      <x:c r="A19" s="9" t="inlineStr">
        <x:is>
          <x:t xml:space="preserve">EMP-018</x:t>
        </x:is>
      </x:c>
      <x:c r="B19" s="9" t="inlineStr">
        <x:is>
          <x:t xml:space="preserve">Raíz Modular Aconcagua EIRL</x:t>
        </x:is>
      </x:c>
      <x:c r="C19" s="10" t="inlineStr">
        <x:is>
          <x:t xml:space="preserve">Raíz Modular Aconcagua Ingeniería Habitacional EIRL</x:t>
        </x:is>
      </x:c>
      <x:c r="D19" s="9" t="inlineStr">
        <x:is>
          <x:t xml:space="preserve">76.002.551-8</x:t>
        </x:is>
      </x:c>
      <x:c r="E19" s="9" t="inlineStr">
        <x:is>
          <x:t xml:space="preserve">Sí</x:t>
        </x:is>
      </x:c>
      <x:c r="F19" s="9" t="n">
        <x:v>2024</x:v>
      </x:c>
      <x:c r="G19" s="10" t="inlineStr">
        <x:is>
          <x:t xml:space="preserve">MODULAR_TIMBER, SIP, HYBRID_MODULAR, STEEL_FRAME</x:t>
        </x:is>
      </x:c>
      <x:c r="H19" s="10" t="inlineStr">
        <x:is>
          <x:t xml:space="preserve">Cadena de custodia FSC (madera); Control dimensional BIM en taller; ISO 14001:2015</x:t>
        </x:is>
      </x:c>
      <x:c r="I19" s="9" t="inlineStr">
        <x:is>
          <x:t xml:space="preserve">contacto@raizmodularaconcag.cl</x:t>
        </x:is>
      </x:c>
      <x:c r="J19" s="9" t="inlineStr">
        <x:is>
          <x:t xml:space="preserve">https://www.raizmodularaconcag.cl</x:t>
        </x:is>
      </x:c>
      <x:c r="K19" s="9" t="inlineStr">
        <x:is>
          <x:t xml:space="preserve">+56 9 4164 7528</x:t>
        </x:is>
      </x:c>
      <x:c r="L19" s="9" t="inlineStr">
        <x:is>
          <x:t xml:space="preserve">+56 52 4337091</x:t>
        </x:is>
      </x:c>
      <x:c r="M19" s="9" t="inlineStr">
        <x:is>
          <x:t xml:space="preserve">Ruta Las Araucarias 216</x:t>
        </x:is>
      </x:c>
      <x:c r="N19" s="9" t="inlineStr">
        <x:is>
          <x:t xml:space="preserve">Puente Alto</x:t>
        </x:is>
      </x:c>
      <x:c r="O19" s="9" t="inlineStr">
        <x:is>
          <x:t xml:space="preserve">Santiago</x:t>
        </x:is>
      </x:c>
      <x:c r="P19" s="9" t="inlineStr">
        <x:is>
          <x:t xml:space="preserve">Metropolitana de Santiago</x:t>
        </x:is>
      </x:c>
      <x:c r="Q19" s="11" t="n">
        <x:v>-33.635755</x:v>
      </x:c>
      <x:c r="R19" s="11" t="n">
        <x:v>-70.524514</x:v>
      </x:c>
      <x:c r="S19" s="12" t="n">
        <x:v>5000</x:v>
      </x:c>
      <x:c r="T19" s="9" t="inlineStr">
        <x:is>
          <x:t xml:space="preserve">Macrozona sur</x:t>
        </x:is>
      </x:c>
      <x:c r="U19" s="10" t="inlineStr">
        <x:is>
          <x:t xml:space="preserve">Especialista en soluciones de rápida instalación.</x:t>
        </x:is>
      </x:c>
      <x:c r="V19" s="13">
        <x:f>COUNTIF(Modelos_Casa!$B:$B,A19)</x:f>
        <x:v>5</x:v>
      </x:c>
      <x:c r="W19" s="13">
        <x:f>COUNTIF(Proyectos!$B:$B,A19)</x:f>
        <x:v>3</x:v>
      </x:c>
      <x:c r="X19" s="14">
        <x:f>SUMIF(Proyectos!$B:$B,A19,Proyectos!$H:$H)</x:f>
        <x:v>218.60000000000002</x:v>
      </x:c>
    </x:row>
    <x:row r="20" ht="18" customHeight="1">
      <x:c r="A20" s="9" t="inlineStr">
        <x:is>
          <x:t xml:space="preserve">EMP-019</x:t>
        </x:is>
      </x:c>
      <x:c r="B20" s="9" t="inlineStr">
        <x:is>
          <x:t xml:space="preserve">Bosque Frame Loncomilla S.A.</x:t>
        </x:is>
      </x:c>
      <x:c r="C20" s="10" t="inlineStr">
        <x:is>
          <x:t xml:space="preserve">Bosque Frame Loncomilla Industrial Prefabricada S.A.</x:t>
        </x:is>
      </x:c>
      <x:c r="D20" s="9" t="inlineStr">
        <x:is>
          <x:t xml:space="preserve">76.002.637-9</x:t>
        </x:is>
      </x:c>
      <x:c r="E20" s="9" t="inlineStr">
        <x:is>
          <x:t xml:space="preserve">Sí</x:t>
        </x:is>
      </x:c>
      <x:c r="F20" s="9" t="n">
        <x:v>2016</x:v>
      </x:c>
      <x:c r="G20" s="10" t="inlineStr">
        <x:is>
          <x:t xml:space="preserve">CONTAINER, HYBRID_MODULAR, SIP, STEEL_FRAME</x:t>
        </x:is>
      </x:c>
      <x:c r="H20" s="10" t="inlineStr">
        <x:is>
          <x:t xml:space="preserve">Cadena de custodia FSC (madera); ISO 14001:2015; Procedimientos de soldadura calificados</x:t>
        </x:is>
      </x:c>
      <x:c r="I20" s="9" t="inlineStr">
        <x:is>
          <x:t xml:space="preserve">contacto@bosqueframeloncomi.cl</x:t>
        </x:is>
      </x:c>
      <x:c r="J20" s="9" t="inlineStr">
        <x:is>
          <x:t xml:space="preserve">https://www.bosqueframeloncomi.cl</x:t>
        </x:is>
      </x:c>
      <x:c r="K20" s="9" t="inlineStr">
        <x:is>
          <x:t xml:space="preserve">+56 9 1626 2776</x:t>
        </x:is>
      </x:c>
      <x:c r="L20" s="9" t="inlineStr">
        <x:is>
          <x:t xml:space="preserve">+56 61 5645385</x:t>
        </x:is>
      </x:c>
      <x:c r="M20" s="9" t="inlineStr">
        <x:is>
          <x:t xml:space="preserve">Calle Los Coigües 2498</x:t>
        </x:is>
      </x:c>
      <x:c r="N20" s="9" t="inlineStr">
        <x:is>
          <x:t xml:space="preserve">Ñuñoa</x:t>
        </x:is>
      </x:c>
      <x:c r="O20" s="9" t="inlineStr">
        <x:is>
          <x:t xml:space="preserve">Santiago</x:t>
        </x:is>
      </x:c>
      <x:c r="P20" s="9" t="inlineStr">
        <x:is>
          <x:t xml:space="preserve">Metropolitana de Santiago</x:t>
        </x:is>
      </x:c>
      <x:c r="Q20" s="11" t="n">
        <x:v>-33.483916</x:v>
      </x:c>
      <x:c r="R20" s="11" t="n">
        <x:v>-70.672584</x:v>
      </x:c>
      <x:c r="S20" s="12" t="n">
        <x:v>3600</x:v>
      </x:c>
      <x:c r="T20" s="9" t="inlineStr">
        <x:is>
          <x:t xml:space="preserve">Nacional</x:t>
        </x:is>
      </x:c>
      <x:c r="U20" s="10" t="inlineStr">
        <x:is>
          <x:t xml:space="preserve">Incluye coordinación de especialidades y transporte de módulos.</x:t>
        </x:is>
      </x:c>
      <x:c r="V20" s="13">
        <x:f>COUNTIF(Modelos_Casa!$B:$B,A20)</x:f>
        <x:v>5</x:v>
      </x:c>
      <x:c r="W20" s="13">
        <x:f>COUNTIF(Proyectos!$B:$B,A20)</x:f>
        <x:v>3</x:v>
      </x:c>
      <x:c r="X20" s="14">
        <x:f>SUMIF(Proyectos!$B:$B,A20,Proyectos!$H:$H)</x:f>
        <x:v>341.79999999999995</x:v>
      </x:c>
    </x:row>
    <x:row r="21" ht="18" customHeight="1">
      <x:c r="A21" s="9" t="inlineStr">
        <x:is>
          <x:t xml:space="preserve">EMP-020</x:t>
        </x:is>
      </x:c>
      <x:c r="B21" s="9" t="inlineStr">
        <x:is>
          <x:t xml:space="preserve">Urbem Casa Pangui S.A.</x:t>
        </x:is>
      </x:c>
      <x:c r="C21" s="10" t="inlineStr">
        <x:is>
          <x:t xml:space="preserve">Urbem Casa Pangui Industrial Prefabricada S.A.</x:t>
        </x:is>
      </x:c>
      <x:c r="D21" s="9" t="inlineStr">
        <x:is>
          <x:t xml:space="preserve">76.002.828-2</x:t>
        </x:is>
      </x:c>
      <x:c r="E21" s="9" t="inlineStr">
        <x:is>
          <x:t xml:space="preserve">Sí</x:t>
        </x:is>
      </x:c>
      <x:c r="F21" s="9" t="n">
        <x:v>2021</x:v>
      </x:c>
      <x:c r="G21" s="10" t="inlineStr">
        <x:is>
          <x:t xml:space="preserve">STEEL_FRAME, SIP, MODULAR_TIMBER, HYBRID_MODULAR</x:t>
        </x:is>
      </x:c>
      <x:c r="H21" s="10" t="inlineStr">
        <x:is>
          <x:t xml:space="preserve">Cadena de custodia FSC (madera); ISO 14001:2015; Programa interno de trazabilidad de módulos</x:t>
        </x:is>
      </x:c>
      <x:c r="I21" s="9" t="inlineStr">
        <x:is>
          <x:t xml:space="preserve">contacto@urbemcasapanguisa.cl</x:t>
        </x:is>
      </x:c>
      <x:c r="J21" s="9" t="inlineStr">
        <x:is>
          <x:t xml:space="preserve">https://www.urbemcasapanguisa.cl</x:t>
        </x:is>
      </x:c>
      <x:c r="K21" s="9" t="inlineStr">
        <x:is>
          <x:t xml:space="preserve">+56 9 4228 6967</x:t>
        </x:is>
      </x:c>
      <x:c r="L21" s="9" t="inlineStr">
        <x:is>
          <x:t xml:space="preserve">+56 53 2586982</x:t>
        </x:is>
      </x:c>
      <x:c r="M21" s="9" t="inlineStr">
        <x:is>
          <x:t xml:space="preserve">Av. Puerto Norte 2325</x:t>
        </x:is>
      </x:c>
      <x:c r="N21" s="9" t="inlineStr">
        <x:is>
          <x:t xml:space="preserve">Rancagua</x:t>
        </x:is>
      </x:c>
      <x:c r="O21" s="9" t="inlineStr">
        <x:is>
          <x:t xml:space="preserve">Rancagua</x:t>
        </x:is>
      </x:c>
      <x:c r="P21" s="9" t="inlineStr">
        <x:is>
          <x:t xml:space="preserve">O'Higgins</x:t>
        </x:is>
      </x:c>
      <x:c r="Q21" s="11" t="n">
        <x:v>-34.210044</x:v>
      </x:c>
      <x:c r="R21" s="11" t="n">
        <x:v>-70.710994</x:v>
      </x:c>
      <x:c r="S21" s="12" t="n">
        <x:v>2600</x:v>
      </x:c>
      <x:c r="T21" s="9" t="inlineStr">
        <x:is>
          <x:t xml:space="preserve">Nacional</x:t>
        </x:is>
      </x:c>
      <x:c r="U21" s="10" t="inlineStr">
        <x:is>
          <x:t xml:space="preserve">Oferta orientada a viviendas llave en mano y ampliaciones.</x:t>
        </x:is>
      </x:c>
      <x:c r="V21" s="13">
        <x:f>COUNTIF(Modelos_Casa!$B:$B,A21)</x:f>
        <x:v>5</x:v>
      </x:c>
      <x:c r="W21" s="13">
        <x:f>COUNTIF(Proyectos!$B:$B,A21)</x:f>
        <x:v>3</x:v>
      </x:c>
      <x:c r="X21" s="14">
        <x:f>SUMIF(Proyectos!$B:$B,A21,Proyectos!$H:$H)</x:f>
        <x:v>285.70000000000005</x:v>
      </x:c>
    </x:row>
    <x:row r="22" ht="18" customHeight="1">
      <x:c r="A22" s="9" t="inlineStr">
        <x:is>
          <x:t xml:space="preserve">EMP-021</x:t>
        </x:is>
      </x:c>
      <x:c r="B22" s="9" t="inlineStr">
        <x:is>
          <x:t xml:space="preserve">Sur Habitat Chacao SpA</x:t>
        </x:is>
      </x:c>
      <x:c r="C22" s="10" t="inlineStr">
        <x:is>
          <x:t xml:space="preserve">Sur Habitat Chacao Servicios Integrados SpA</x:t>
        </x:is>
      </x:c>
      <x:c r="D22" s="9" t="inlineStr">
        <x:is>
          <x:t xml:space="preserve">76.002.902-5</x:t>
        </x:is>
      </x:c>
      <x:c r="E22" s="9" t="inlineStr">
        <x:is>
          <x:t xml:space="preserve">Sí</x:t>
        </x:is>
      </x:c>
      <x:c r="F22" s="9" t="n">
        <x:v>2013</x:v>
      </x:c>
      <x:c r="G22" s="10" t="inlineStr">
        <x:is>
          <x:t xml:space="preserve">SIP, MODULAR_TIMBER, STEEL_FRAME, HYBRID_MODULAR</x:t>
        </x:is>
      </x:c>
      <x:c r="H22" s="10" t="inlineStr">
        <x:is>
          <x:t xml:space="preserve">Control dimensional BIM en taller; Procedimientos de soldadura calificados; Programa interno de trazabilidad de módulos</x:t>
        </x:is>
      </x:c>
      <x:c r="I22" s="9" t="inlineStr">
        <x:is>
          <x:t xml:space="preserve">contacto@surhabitatchacaosp.cl</x:t>
        </x:is>
      </x:c>
      <x:c r="J22" s="9" t="inlineStr">
        <x:is>
          <x:t xml:space="preserve">https://www.surhabitatchacaosp.cl</x:t>
        </x:is>
      </x:c>
      <x:c r="K22" s="9" t="inlineStr">
        <x:is>
          <x:t xml:space="preserve">+56 9 7888 7211</x:t>
        </x:is>
      </x:c>
      <x:c r="L22" s="9" t="inlineStr">
        <x:is>
          <x:t xml:space="preserve">+56 63 8275807</x:t>
        </x:is>
      </x:c>
      <x:c r="M22" s="9" t="inlineStr">
        <x:is>
          <x:t xml:space="preserve">Calle Las Dunas 641</x:t>
        </x:is>
      </x:c>
      <x:c r="N22" s="9" t="inlineStr">
        <x:is>
          <x:t xml:space="preserve">Machalí</x:t>
        </x:is>
      </x:c>
      <x:c r="O22" s="9" t="inlineStr">
        <x:is>
          <x:t xml:space="preserve">Rancagua</x:t>
        </x:is>
      </x:c>
      <x:c r="P22" s="9" t="inlineStr">
        <x:is>
          <x:t xml:space="preserve">O'Higgins</x:t>
        </x:is>
      </x:c>
      <x:c r="Q22" s="11" t="n">
        <x:v>-34.153297</x:v>
      </x:c>
      <x:c r="R22" s="11" t="n">
        <x:v>-70.680111</x:v>
      </x:c>
      <x:c r="S22" s="12" t="n">
        <x:v>5000</x:v>
      </x:c>
      <x:c r="T22" s="9" t="inlineStr">
        <x:is>
          <x:t xml:space="preserve">Sur austral</x:t>
        </x:is>
      </x:c>
      <x:c r="U22" s="10" t="inlineStr">
        <x:is>
          <x:t xml:space="preserve">Opera con fabricación en taller y montaje en sitio.</x:t>
        </x:is>
      </x:c>
      <x:c r="V22" s="13">
        <x:f>COUNTIF(Modelos_Casa!$B:$B,A22)</x:f>
        <x:v>5</x:v>
      </x:c>
      <x:c r="W22" s="13">
        <x:f>COUNTIF(Proyectos!$B:$B,A22)</x:f>
        <x:v>3</x:v>
      </x:c>
      <x:c r="X22" s="14">
        <x:f>SUMIF(Proyectos!$B:$B,A22,Proyectos!$H:$H)</x:f>
        <x:v>338.20000000000005</x:v>
      </x:c>
    </x:row>
    <x:row r="23" ht="18" customHeight="1">
      <x:c r="A23" s="9" t="inlineStr">
        <x:is>
          <x:t xml:space="preserve">EMP-022</x:t>
        </x:is>
      </x:c>
      <x:c r="B23" s="9" t="inlineStr">
        <x:is>
          <x:t xml:space="preserve">Austral Habitat Antilhue S.A.</x:t>
        </x:is>
      </x:c>
      <x:c r="C23" s="10" t="inlineStr">
        <x:is>
          <x:t xml:space="preserve">Austral Habitat Antilhue Industrial Prefabricada S.A.</x:t>
        </x:is>
      </x:c>
      <x:c r="D23" s="9" t="inlineStr">
        <x:is>
          <x:t xml:space="preserve">76.003.071-6</x:t>
        </x:is>
      </x:c>
      <x:c r="E23" s="9" t="inlineStr">
        <x:is>
          <x:t xml:space="preserve">Sí</x:t>
        </x:is>
      </x:c>
      <x:c r="F23" s="9" t="n">
        <x:v>2023</x:v>
      </x:c>
      <x:c r="G23" s="10" t="inlineStr">
        <x:is>
          <x:t xml:space="preserve">SIP, STEEL_FRAME, CONTAINER, HYBRID_MODULAR</x:t>
        </x:is>
      </x:c>
      <x:c r="H23" s="10" t="inlineStr">
        <x:is>
          <x:t xml:space="preserve">Control dimensional BIM en taller; ISO 14001:2015; ISO 45001:2018</x:t>
        </x:is>
      </x:c>
      <x:c r="I23" s="9" t="inlineStr">
        <x:is>
          <x:t xml:space="preserve">contacto@australhabitatanti.cl</x:t>
        </x:is>
      </x:c>
      <x:c r="J23" s="9" t="inlineStr">
        <x:is>
          <x:t xml:space="preserve">https://www.australhabitatanti.cl</x:t>
        </x:is>
      </x:c>
      <x:c r="K23" s="9" t="inlineStr">
        <x:is>
          <x:t xml:space="preserve">+56 9 4501 9375</x:t>
        </x:is>
      </x:c>
      <x:c r="L23" s="9" t="inlineStr">
        <x:is>
          <x:t xml:space="preserve">+56 55 8658335</x:t>
        </x:is>
      </x:c>
      <x:c r="M23" s="9" t="inlineStr">
        <x:is>
          <x:t xml:space="preserve">Los Río Claro 1929</x:t>
        </x:is>
      </x:c>
      <x:c r="N23" s="9" t="inlineStr">
        <x:is>
          <x:t xml:space="preserve">Curicó</x:t>
        </x:is>
      </x:c>
      <x:c r="O23" s="9" t="inlineStr">
        <x:is>
          <x:t xml:space="preserve">Curicó</x:t>
        </x:is>
      </x:c>
      <x:c r="P23" s="9" t="inlineStr">
        <x:is>
          <x:t xml:space="preserve">Maule</x:t>
        </x:is>
      </x:c>
      <x:c r="Q23" s="11" t="n">
        <x:v>-35.01428</x:v>
      </x:c>
      <x:c r="R23" s="11" t="n">
        <x:v>-71.285771</x:v>
      </x:c>
      <x:c r="S23" s="12" t="n">
        <x:v>5000</x:v>
      </x:c>
      <x:c r="T23" s="9" t="inlineStr">
        <x:is>
          <x:t xml:space="preserve">Centro-sur</x:t>
        </x:is>
      </x:c>
      <x:c r="U23" s="10" t="inlineStr">
        <x:is>
          <x:t xml:space="preserve">Especialista en soluciones de rápida instalación.</x:t>
        </x:is>
      </x:c>
      <x:c r="V23" s="13">
        <x:f>COUNTIF(Modelos_Casa!$B:$B,A23)</x:f>
        <x:v>5</x:v>
      </x:c>
      <x:c r="W23" s="13">
        <x:f>COUNTIF(Proyectos!$B:$B,A23)</x:f>
        <x:v>3</x:v>
      </x:c>
      <x:c r="X23" s="14">
        <x:f>SUMIF(Proyectos!$B:$B,A23,Proyectos!$H:$H)</x:f>
        <x:v>384.4</x:v>
      </x:c>
    </x:row>
    <x:row r="24" ht="18" customHeight="1">
      <x:c r="A24" s="9" t="inlineStr">
        <x:is>
          <x:t xml:space="preserve">EMP-023</x:t>
        </x:is>
      </x:c>
      <x:c r="B24" s="9" t="inlineStr">
        <x:is>
          <x:t xml:space="preserve">Bosque Habitat Pilmaiquén SpA</x:t>
        </x:is>
      </x:c>
      <x:c r="C24" s="10" t="inlineStr">
        <x:is>
          <x:t xml:space="preserve">Bosque Habitat Pilmaiquén Servicios Integrados SpA</x:t>
        </x:is>
      </x:c>
      <x:c r="D24" s="9" t="inlineStr">
        <x:is>
          <x:t xml:space="preserve">76.003.180-1</x:t>
        </x:is>
      </x:c>
      <x:c r="E24" s="9" t="inlineStr">
        <x:is>
          <x:t xml:space="preserve">Sí</x:t>
        </x:is>
      </x:c>
      <x:c r="F24" s="9" t="n">
        <x:v>2014</x:v>
      </x:c>
      <x:c r="G24" s="10" t="inlineStr">
        <x:is>
          <x:t xml:space="preserve">MODULAR_TIMBER, SIP, HYBRID_MODULAR, STEEL_FRAME</x:t>
        </x:is>
      </x:c>
      <x:c r="H24" s="10" t="inlineStr">
        <x:is>
          <x:t xml:space="preserve">Ensayos referenciales de panel SIP NCh3393; ISO 14001:2015; Programa interno de trazabilidad de módulos</x:t>
        </x:is>
      </x:c>
      <x:c r="I24" s="9" t="inlineStr">
        <x:is>
          <x:t xml:space="preserve">contacto@bosquehabitatpilma.cl</x:t>
        </x:is>
      </x:c>
      <x:c r="J24" s="9" t="inlineStr">
        <x:is>
          <x:t xml:space="preserve">https://www.bosquehabitatpilma.cl</x:t>
        </x:is>
      </x:c>
      <x:c r="K24" s="9" t="inlineStr">
        <x:is>
          <x:t xml:space="preserve">+56 9 4262 3414</x:t>
        </x:is>
      </x:c>
      <x:c r="L24" s="9" t="inlineStr">
        <x:is>
          <x:t xml:space="preserve">+56 2 2387668</x:t>
        </x:is>
      </x:c>
      <x:c r="M24" s="9" t="inlineStr">
        <x:is>
          <x:t xml:space="preserve">Ruta Las Quemas 1391</x:t>
        </x:is>
      </x:c>
      <x:c r="N24" s="9" t="inlineStr">
        <x:is>
          <x:t xml:space="preserve">Talca</x:t>
        </x:is>
      </x:c>
      <x:c r="O24" s="9" t="inlineStr">
        <x:is>
          <x:t xml:space="preserve">Talca</x:t>
        </x:is>
      </x:c>
      <x:c r="P24" s="9" t="inlineStr">
        <x:is>
          <x:t xml:space="preserve">Maule</x:t>
        </x:is>
      </x:c>
      <x:c r="Q24" s="11" t="n">
        <x:v>-35.45277</x:v>
      </x:c>
      <x:c r="R24" s="11" t="n">
        <x:v>-71.60445199999999</x:v>
      </x:c>
      <x:c r="S24" s="12" t="n">
        <x:v>3600</x:v>
      </x:c>
      <x:c r="T24" s="9" t="inlineStr">
        <x:is>
          <x:t xml:space="preserve">Centro-sur</x:t>
        </x:is>
      </x:c>
      <x:c r="U24" s="10" t="inlineStr">
        <x:is>
          <x:t xml:space="preserve">Especialista en soluciones de rápida instalación.</x:t>
        </x:is>
      </x:c>
      <x:c r="V24" s="13">
        <x:f>COUNTIF(Modelos_Casa!$B:$B,A24)</x:f>
        <x:v>5</x:v>
      </x:c>
      <x:c r="W24" s="13">
        <x:f>COUNTIF(Proyectos!$B:$B,A24)</x:f>
        <x:v>3</x:v>
      </x:c>
      <x:c r="X24" s="14">
        <x:f>SUMIF(Proyectos!$B:$B,A24,Proyectos!$H:$H)</x:f>
        <x:v>251.49999999999997</x:v>
      </x:c>
    </x:row>
    <x:row r="25" ht="18" customHeight="1">
      <x:c r="A25" s="9" t="inlineStr">
        <x:is>
          <x:t xml:space="preserve">EMP-024</x:t>
        </x:is>
      </x:c>
      <x:c r="B25" s="9" t="inlineStr">
        <x:is>
          <x:t xml:space="preserve">Minga Construct Allipén EIRL</x:t>
        </x:is>
      </x:c>
      <x:c r="C25" s="10" t="inlineStr">
        <x:is>
          <x:t xml:space="preserve">Minga Construct Allipén Ingeniería Habitacional EIRL</x:t>
        </x:is>
      </x:c>
      <x:c r="D25" s="9" t="inlineStr">
        <x:is>
          <x:t xml:space="preserve">76.003.307-3</x:t>
        </x:is>
      </x:c>
      <x:c r="E25" s="9" t="inlineStr">
        <x:is>
          <x:t xml:space="preserve">Sí</x:t>
        </x:is>
      </x:c>
      <x:c r="F25" s="9" t="n">
        <x:v>2014</x:v>
      </x:c>
      <x:c r="G25" s="10" t="inlineStr">
        <x:is>
          <x:t xml:space="preserve">CONTAINER, HYBRID_MODULAR, SIP, STEEL_FRAME</x:t>
        </x:is>
      </x:c>
      <x:c r="H25" s="10" t="inlineStr">
        <x:is>
          <x:t xml:space="preserve">Ensayos referenciales de panel SIP NCh3393; ISO 45001:2018; Plan de gestión de residuos de obra</x:t>
        </x:is>
      </x:c>
      <x:c r="I25" s="9" t="inlineStr">
        <x:is>
          <x:t xml:space="preserve">contacto@mingaconstructalli.cl</x:t>
        </x:is>
      </x:c>
      <x:c r="J25" s="9" t="inlineStr">
        <x:is>
          <x:t xml:space="preserve">https://www.mingaconstructalli.cl</x:t>
        </x:is>
      </x:c>
      <x:c r="K25" s="9" t="inlineStr">
        <x:is>
          <x:t xml:space="preserve">+56 9 1090 2746</x:t>
        </x:is>
      </x:c>
      <x:c r="L25" s="9" t="inlineStr">
        <x:is>
          <x:t xml:space="preserve">+56 65 5566384</x:t>
        </x:is>
      </x:c>
      <x:c r="M25" s="9" t="inlineStr">
        <x:is>
          <x:t xml:space="preserve">Sendero La Frontera 1119</x:t>
        </x:is>
      </x:c>
      <x:c r="N25" s="9" t="inlineStr">
        <x:is>
          <x:t xml:space="preserve">Linares</x:t>
        </x:is>
      </x:c>
      <x:c r="O25" s="9" t="inlineStr">
        <x:is>
          <x:t xml:space="preserve">Linares</x:t>
        </x:is>
      </x:c>
      <x:c r="P25" s="9" t="inlineStr">
        <x:is>
          <x:t xml:space="preserve">Maule</x:t>
        </x:is>
      </x:c>
      <x:c r="Q25" s="11" t="n">
        <x:v>-35.88889</x:v>
      </x:c>
      <x:c r="R25" s="11" t="n">
        <x:v>-71.561583</x:v>
      </x:c>
      <x:c r="S25" s="12" t="n">
        <x:v>1200</x:v>
      </x:c>
      <x:c r="T25" s="9" t="inlineStr">
        <x:is>
          <x:t xml:space="preserve">Nacional</x:t>
        </x:is>
      </x:c>
      <x:c r="U25" s="10" t="inlineStr">
        <x:is>
          <x:t xml:space="preserve">Incluye coordinación de especialidades y transporte de módulos.</x:t>
        </x:is>
      </x:c>
      <x:c r="V25" s="13">
        <x:f>COUNTIF(Modelos_Casa!$B:$B,A25)</x:f>
        <x:v>5</x:v>
      </x:c>
      <x:c r="W25" s="13">
        <x:f>COUNTIF(Proyectos!$B:$B,A25)</x:f>
        <x:v>3</x:v>
      </x:c>
      <x:c r="X25" s="14">
        <x:f>SUMIF(Proyectos!$B:$B,A25,Proyectos!$H:$H)</x:f>
        <x:v>413.1</x:v>
      </x:c>
    </x:row>
    <x:row r="26" ht="18" customHeight="1">
      <x:c r="A26" s="9" t="inlineStr">
        <x:is>
          <x:t xml:space="preserve">EMP-025</x:t>
        </x:is>
      </x:c>
      <x:c r="B26" s="9" t="inlineStr">
        <x:is>
          <x:t xml:space="preserve">Urbem Vivienda Tamelcura Ltda.</x:t>
        </x:is>
      </x:c>
      <x:c r="C26" s="10" t="inlineStr">
        <x:is>
          <x:t xml:space="preserve">Urbem Vivienda Tamelcura Soluciones Habitacionales Ltda.</x:t>
        </x:is>
      </x:c>
      <x:c r="D26" s="9" t="inlineStr">
        <x:is>
          <x:t xml:space="preserve">76.003.493-2</x:t>
        </x:is>
      </x:c>
      <x:c r="E26" s="9" t="inlineStr">
        <x:is>
          <x:t xml:space="preserve">Sí</x:t>
        </x:is>
      </x:c>
      <x:c r="F26" s="9" t="n">
        <x:v>2022</x:v>
      </x:c>
      <x:c r="G26" s="10" t="inlineStr">
        <x:is>
          <x:t xml:space="preserve">STEEL_FRAME, SIP, MODULAR_TIMBER, HYBRID_MODULAR</x:t>
        </x:is>
      </x:c>
      <x:c r="H26" s="10" t="inlineStr">
        <x:is>
          <x:t xml:space="preserve">Ensayos referenciales de panel SIP NCh3393; Plan de gestión de residuos de obra; Procedimientos de soldadura calificados</x:t>
        </x:is>
      </x:c>
      <x:c r="I26" s="9" t="inlineStr">
        <x:is>
          <x:t xml:space="preserve">contacto@urbemviviendatamel.cl</x:t>
        </x:is>
      </x:c>
      <x:c r="J26" s="9" t="inlineStr">
        <x:is>
          <x:t xml:space="preserve">https://www.urbemviviendatamel.cl</x:t>
        </x:is>
      </x:c>
      <x:c r="K26" s="9" t="inlineStr">
        <x:is>
          <x:t xml:space="preserve">+56 9 6198 8251</x:t>
        </x:is>
      </x:c>
      <x:c r="L26" s="9" t="inlineStr">
        <x:is>
          <x:t xml:space="preserve">+56 61 8836770</x:t>
        </x:is>
      </x:c>
      <x:c r="M26" s="9" t="inlineStr">
        <x:is>
          <x:t xml:space="preserve">Pasaje Río Claro 2854</x:t>
        </x:is>
      </x:c>
      <x:c r="N26" s="9" t="inlineStr">
        <x:is>
          <x:t xml:space="preserve">Chillán</x:t>
        </x:is>
      </x:c>
      <x:c r="O26" s="9" t="inlineStr">
        <x:is>
          <x:t xml:space="preserve">Chillán</x:t>
        </x:is>
      </x:c>
      <x:c r="P26" s="9" t="inlineStr">
        <x:is>
          <x:t xml:space="preserve">Ñuble</x:t>
        </x:is>
      </x:c>
      <x:c r="Q26" s="11" t="n">
        <x:v>-36.539805</x:v>
      </x:c>
      <x:c r="R26" s="11" t="n">
        <x:v>-72.163983</x:v>
      </x:c>
      <x:c r="S26" s="12" t="n">
        <x:v>1800</x:v>
      </x:c>
      <x:c r="T26" s="9" t="inlineStr">
        <x:is>
          <x:t xml:space="preserve">Centro-sur</x:t>
        </x:is>
      </x:c>
      <x:c r="U26" s="10" t="inlineStr">
        <x:is>
          <x:t xml:space="preserve">Enfoque en proyectos rurales, parcelas y segunda vivienda.</x:t>
        </x:is>
      </x:c>
      <x:c r="V26" s="13">
        <x:f>COUNTIF(Modelos_Casa!$B:$B,A26)</x:f>
        <x:v>5</x:v>
      </x:c>
      <x:c r="W26" s="13">
        <x:f>COUNTIF(Proyectos!$B:$B,A26)</x:f>
        <x:v>3</x:v>
      </x:c>
      <x:c r="X26" s="14">
        <x:f>SUMIF(Proyectos!$B:$B,A26,Proyectos!$H:$H)</x:f>
        <x:v>419.20000000000005</x:v>
      </x:c>
    </x:row>
    <x:row r="27" ht="18" customHeight="1">
      <x:c r="A27" s="9" t="inlineStr">
        <x:is>
          <x:t xml:space="preserve">EMP-026</x:t>
        </x:is>
      </x:c>
      <x:c r="B27" s="9" t="inlineStr">
        <x:is>
          <x:t xml:space="preserve">Lenga Vivienda Calafquén Ltda.</x:t>
        </x:is>
      </x:c>
      <x:c r="C27" s="10" t="inlineStr">
        <x:is>
          <x:t xml:space="preserve">Lenga Vivienda Calafquén Soluciones Habitacionales Ltda.</x:t>
        </x:is>
      </x:c>
      <x:c r="D27" s="9" t="inlineStr">
        <x:is>
          <x:t xml:space="preserve">76.003.643-9</x:t>
        </x:is>
      </x:c>
      <x:c r="E27" s="9" t="inlineStr">
        <x:is>
          <x:t xml:space="preserve">Sí</x:t>
        </x:is>
      </x:c>
      <x:c r="F27" s="9" t="n">
        <x:v>2022</x:v>
      </x:c>
      <x:c r="G27" s="10" t="inlineStr">
        <x:is>
          <x:t xml:space="preserve">SIP, MODULAR_TIMBER, STEEL_FRAME, HYBRID_MODULAR</x:t>
        </x:is>
      </x:c>
      <x:c r="H27" s="10" t="inlineStr">
        <x:is>
          <x:t xml:space="preserve">Control dimensional BIM en taller; Programa interno de trazabilidad de módulos; Protocolos internos SEC para instalaciones</x:t>
        </x:is>
      </x:c>
      <x:c r="I27" s="9" t="inlineStr">
        <x:is>
          <x:t xml:space="preserve">contacto@lengaviviendacalaf.cl</x:t>
        </x:is>
      </x:c>
      <x:c r="J27" s="9" t="inlineStr">
        <x:is>
          <x:t xml:space="preserve">https://www.lengaviviendacalaf.cl</x:t>
        </x:is>
      </x:c>
      <x:c r="K27" s="9" t="inlineStr">
        <x:is>
          <x:t xml:space="preserve">+56 9 4919 5499</x:t>
        </x:is>
      </x:c>
      <x:c r="L27" s="9" t="inlineStr">
        <x:is>
          <x:t xml:space="preserve">+56 55 2649977</x:t>
        </x:is>
      </x:c>
      <x:c r="M27" s="9" t="inlineStr">
        <x:is>
          <x:t xml:space="preserve">Calle Puerto Norte 2104</x:t>
        </x:is>
      </x:c>
      <x:c r="N27" s="9" t="inlineStr">
        <x:is>
          <x:t xml:space="preserve">San Carlos</x:t>
        </x:is>
      </x:c>
      <x:c r="O27" s="9" t="inlineStr">
        <x:is>
          <x:t xml:space="preserve">San Carlos</x:t>
        </x:is>
      </x:c>
      <x:c r="P27" s="9" t="inlineStr">
        <x:is>
          <x:t xml:space="preserve">Ñuble</x:t>
        </x:is>
      </x:c>
      <x:c r="Q27" s="11" t="n">
        <x:v>-36.432789</x:v>
      </x:c>
      <x:c r="R27" s="11" t="n">
        <x:v>-71.917716</x:v>
      </x:c>
      <x:c r="S27" s="12" t="n">
        <x:v>3000</x:v>
      </x:c>
      <x:c r="T27" s="9" t="inlineStr">
        <x:is>
          <x:t xml:space="preserve">Macrozona centro</x:t>
        </x:is>
      </x:c>
      <x:c r="U27" s="10" t="inlineStr">
        <x:is>
          <x:t xml:space="preserve">Especialista en soluciones de rápida instalación.</x:t>
        </x:is>
      </x:c>
      <x:c r="V27" s="13">
        <x:f>COUNTIF(Modelos_Casa!$B:$B,A27)</x:f>
        <x:v>5</x:v>
      </x:c>
      <x:c r="W27" s="13">
        <x:f>COUNTIF(Proyectos!$B:$B,A27)</x:f>
        <x:v>3</x:v>
      </x:c>
      <x:c r="X27" s="14">
        <x:f>SUMIF(Proyectos!$B:$B,A27,Proyectos!$H:$H)</x:f>
        <x:v>356</x:v>
      </x:c>
    </x:row>
    <x:row r="28" ht="18" customHeight="1">
      <x:c r="A28" s="9" t="inlineStr">
        <x:is>
          <x:t xml:space="preserve">EMP-027</x:t>
        </x:is>
      </x:c>
      <x:c r="B28" s="9" t="inlineStr">
        <x:is>
          <x:t xml:space="preserve">Vértice Construct Pirehueico SpA</x:t>
        </x:is>
      </x:c>
      <x:c r="C28" s="10" t="inlineStr">
        <x:is>
          <x:t xml:space="preserve">Vértice Construct Pirehueico Servicios Integrados SpA</x:t>
        </x:is>
      </x:c>
      <x:c r="D28" s="9" t="inlineStr">
        <x:is>
          <x:t xml:space="preserve">76.003.727-3</x:t>
        </x:is>
      </x:c>
      <x:c r="E28" s="9" t="inlineStr">
        <x:is>
          <x:t xml:space="preserve">Sí</x:t>
        </x:is>
      </x:c>
      <x:c r="F28" s="9" t="n">
        <x:v>2019</x:v>
      </x:c>
      <x:c r="G28" s="10" t="inlineStr">
        <x:is>
          <x:t xml:space="preserve">SIP, STEEL_FRAME, CONTAINER, HYBRID_MODULAR</x:t>
        </x:is>
      </x:c>
      <x:c r="H28" s="10" t="inlineStr">
        <x:is>
          <x:t xml:space="preserve">Ensayos referenciales de panel SIP NCh3393; ISO 9001:2015; Procedimientos de soldadura calificados</x:t>
        </x:is>
      </x:c>
      <x:c r="I28" s="9" t="inlineStr">
        <x:is>
          <x:t xml:space="preserve">contacto@verticeconstructpi.cl</x:t>
        </x:is>
      </x:c>
      <x:c r="J28" s="9" t="inlineStr">
        <x:is>
          <x:t xml:space="preserve">https://www.verticeconstructpi.cl</x:t>
        </x:is>
      </x:c>
      <x:c r="K28" s="9" t="inlineStr">
        <x:is>
          <x:t xml:space="preserve">+56 9 2052 7797</x:t>
        </x:is>
      </x:c>
      <x:c r="L28" s="9" t="inlineStr">
        <x:is>
          <x:t xml:space="preserve">+56 53 4775634</x:t>
        </x:is>
      </x:c>
      <x:c r="M28" s="9" t="inlineStr">
        <x:is>
          <x:t xml:space="preserve">Parque Piedra Azul 745</x:t>
        </x:is>
      </x:c>
      <x:c r="N28" s="9" t="inlineStr">
        <x:is>
          <x:t xml:space="preserve">Los Ángeles</x:t>
        </x:is>
      </x:c>
      <x:c r="O28" s="9" t="inlineStr">
        <x:is>
          <x:t xml:space="preserve">Los Ángeles</x:t>
        </x:is>
      </x:c>
      <x:c r="P28" s="9" t="inlineStr">
        <x:is>
          <x:t xml:space="preserve">Biobío</x:t>
        </x:is>
      </x:c>
      <x:c r="Q28" s="11" t="n">
        <x:v>-37.536808</x:v>
      </x:c>
      <x:c r="R28" s="11" t="n">
        <x:v>-72.409567</x:v>
      </x:c>
      <x:c r="S28" s="12" t="n">
        <x:v>2200</x:v>
      </x:c>
      <x:c r="T28" s="9" t="inlineStr">
        <x:is>
          <x:t xml:space="preserve">Sur austral</x:t>
        </x:is>
      </x:c>
      <x:c r="U28" s="10" t="inlineStr">
        <x:is>
          <x:t xml:space="preserve">Enfoque en proyectos rurales, parcelas y segunda vivienda.</x:t>
        </x:is>
      </x:c>
      <x:c r="V28" s="13">
        <x:f>COUNTIF(Modelos_Casa!$B:$B,A28)</x:f>
        <x:v>5</x:v>
      </x:c>
      <x:c r="W28" s="13">
        <x:f>COUNTIF(Proyectos!$B:$B,A28)</x:f>
        <x:v>3</x:v>
      </x:c>
      <x:c r="X28" s="14">
        <x:f>SUMIF(Proyectos!$B:$B,A28,Proyectos!$H:$H)</x:f>
        <x:v>377.29999999999995</x:v>
      </x:c>
    </x:row>
    <x:row r="29" ht="18" customHeight="1">
      <x:c r="A29" s="9" t="inlineStr">
        <x:is>
          <x:t xml:space="preserve">EMP-028</x:t>
        </x:is>
      </x:c>
      <x:c r="B29" s="9" t="inlineStr">
        <x:is>
          <x:t xml:space="preserve">Terra Prefab Licarayén Group SpA</x:t>
        </x:is>
      </x:c>
      <x:c r="C29" s="10" t="inlineStr">
        <x:is>
          <x:t xml:space="preserve">Terra Prefab Licarayén Group Servicios Integrados SpA</x:t>
        </x:is>
      </x:c>
      <x:c r="D29" s="9" t="inlineStr">
        <x:is>
          <x:t xml:space="preserve">76.003.898-9</x:t>
        </x:is>
      </x:c>
      <x:c r="E29" s="9" t="inlineStr">
        <x:is>
          <x:t xml:space="preserve">Sí</x:t>
        </x:is>
      </x:c>
      <x:c r="F29" s="9" t="n">
        <x:v>2017</x:v>
      </x:c>
      <x:c r="G29" s="10" t="inlineStr">
        <x:is>
          <x:t xml:space="preserve">MODULAR_TIMBER, SIP, HYBRID_MODULAR, STEEL_FRAME</x:t>
        </x:is>
      </x:c>
      <x:c r="H29" s="10" t="inlineStr">
        <x:is>
          <x:t xml:space="preserve">Plan de gestión de residuos de obra; Procedimientos de soldadura calificados; Protocolos internos SEC para instalaciones</x:t>
        </x:is>
      </x:c>
      <x:c r="I29" s="9" t="inlineStr">
        <x:is>
          <x:t xml:space="preserve">contacto@terraprefablicaray.cl</x:t>
        </x:is>
      </x:c>
      <x:c r="J29" s="9" t="inlineStr">
        <x:is>
          <x:t xml:space="preserve">https://www.terraprefablicaray.cl</x:t>
        </x:is>
      </x:c>
      <x:c r="K29" s="9" t="inlineStr">
        <x:is>
          <x:t xml:space="preserve">+56 9 1096 6763</x:t>
        </x:is>
      </x:c>
      <x:c r="L29" s="9" t="inlineStr">
        <x:is>
          <x:t xml:space="preserve">+56 51 8320607</x:t>
        </x:is>
      </x:c>
      <x:c r="M29" s="9" t="inlineStr">
        <x:is>
          <x:t xml:space="preserve">Av. Los Tijerales 1678</x:t>
        </x:is>
      </x:c>
      <x:c r="N29" s="9" t="inlineStr">
        <x:is>
          <x:t xml:space="preserve">Concepción</x:t>
        </x:is>
      </x:c>
      <x:c r="O29" s="9" t="inlineStr">
        <x:is>
          <x:t xml:space="preserve">Concepción</x:t>
        </x:is>
      </x:c>
      <x:c r="P29" s="9" t="inlineStr">
        <x:is>
          <x:t xml:space="preserve">Biobío</x:t>
        </x:is>
      </x:c>
      <x:c r="Q29" s="11" t="n">
        <x:v>-36.837784</x:v>
      </x:c>
      <x:c r="R29" s="11" t="n">
        <x:v>-73.001233</x:v>
      </x:c>
      <x:c r="S29" s="12" t="n">
        <x:v>4200</x:v>
      </x:c>
      <x:c r="T29" s="9" t="inlineStr">
        <x:is>
          <x:t xml:space="preserve">Macrozona norte</x:t>
        </x:is>
      </x:c>
      <x:c r="U29" s="10" t="inlineStr">
        <x:is>
          <x:t xml:space="preserve">Oferta orientada a viviendas llave en mano y ampliaciones.</x:t>
        </x:is>
      </x:c>
      <x:c r="V29" s="13">
        <x:f>COUNTIF(Modelos_Casa!$B:$B,A29)</x:f>
        <x:v>5</x:v>
      </x:c>
      <x:c r="W29" s="13">
        <x:f>COUNTIF(Proyectos!$B:$B,A29)</x:f>
        <x:v>3</x:v>
      </x:c>
      <x:c r="X29" s="14">
        <x:f>SUMIF(Proyectos!$B:$B,A29,Proyectos!$H:$H)</x:f>
        <x:v>269.40000000000003</x:v>
      </x:c>
    </x:row>
    <x:row r="30" ht="18" customHeight="1">
      <x:c r="A30" s="9" t="inlineStr">
        <x:is>
          <x:t xml:space="preserve">EMP-029</x:t>
        </x:is>
      </x:c>
      <x:c r="B30" s="9" t="inlineStr">
        <x:is>
          <x:t xml:space="preserve">Xile Habitat Chelenko Ltda.</x:t>
        </x:is>
      </x:c>
      <x:c r="C30" s="10" t="inlineStr">
        <x:is>
          <x:t xml:space="preserve">Xile Habitat Chelenko Soluciones Habitacionales Ltda.</x:t>
        </x:is>
      </x:c>
      <x:c r="D30" s="9" t="inlineStr">
        <x:is>
          <x:t xml:space="preserve">76.003.995-0</x:t>
        </x:is>
      </x:c>
      <x:c r="E30" s="9" t="inlineStr">
        <x:is>
          <x:t xml:space="preserve">Sí</x:t>
        </x:is>
      </x:c>
      <x:c r="F30" s="9" t="n">
        <x:v>2011</x:v>
      </x:c>
      <x:c r="G30" s="10" t="inlineStr">
        <x:is>
          <x:t xml:space="preserve">CONTAINER, HYBRID_MODULAR, SIP, STEEL_FRAME</x:t>
        </x:is>
      </x:c>
      <x:c r="H30" s="10" t="inlineStr">
        <x:is>
          <x:t xml:space="preserve">ISO 14001:2015; ISO 9001:2015; Procedimientos de soldadura calificados</x:t>
        </x:is>
      </x:c>
      <x:c r="I30" s="9" t="inlineStr">
        <x:is>
          <x:t xml:space="preserve">contacto@xilehabitatchelenk.cl</x:t>
        </x:is>
      </x:c>
      <x:c r="J30" s="9" t="inlineStr">
        <x:is>
          <x:t xml:space="preserve">https://www.xilehabitatchelenk.cl</x:t>
        </x:is>
      </x:c>
      <x:c r="K30" s="9" t="inlineStr">
        <x:is>
          <x:t xml:space="preserve">+56 9 8657 3091</x:t>
        </x:is>
      </x:c>
      <x:c r="L30" s="9" t="inlineStr">
        <x:is>
          <x:t xml:space="preserve">+56 61 6480553</x:t>
        </x:is>
      </x:c>
      <x:c r="M30" s="9" t="inlineStr">
        <x:is>
          <x:t xml:space="preserve">Los Las Quemas 1776</x:t>
        </x:is>
      </x:c>
      <x:c r="N30" s="9" t="inlineStr">
        <x:is>
          <x:t xml:space="preserve">San Pedro de la Paz</x:t>
        </x:is>
      </x:c>
      <x:c r="O30" s="9" t="inlineStr">
        <x:is>
          <x:t xml:space="preserve">Concepción</x:t>
        </x:is>
      </x:c>
      <x:c r="P30" s="9" t="inlineStr">
        <x:is>
          <x:t xml:space="preserve">Biobío</x:t>
        </x:is>
      </x:c>
      <x:c r="Q30" s="11" t="n">
        <x:v>-36.851066</x:v>
      </x:c>
      <x:c r="R30" s="11" t="n">
        <x:v>-73.17875600000001</x:v>
      </x:c>
      <x:c r="S30" s="12" t="n">
        <x:v>3600</x:v>
      </x:c>
      <x:c r="T30" s="9" t="inlineStr">
        <x:is>
          <x:t xml:space="preserve">Macrozona norte</x:t>
        </x:is>
      </x:c>
      <x:c r="U30" s="10" t="inlineStr">
        <x:is>
          <x:t xml:space="preserve">Enfoque en proyectos rurales, parcelas y segunda vivienda.</x:t>
        </x:is>
      </x:c>
      <x:c r="V30" s="13">
        <x:f>COUNTIF(Modelos_Casa!$B:$B,A30)</x:f>
        <x:v>5</x:v>
      </x:c>
      <x:c r="W30" s="13">
        <x:f>COUNTIF(Proyectos!$B:$B,A30)</x:f>
        <x:v>3</x:v>
      </x:c>
      <x:c r="X30" s="14">
        <x:f>SUMIF(Proyectos!$B:$B,A30,Proyectos!$H:$H)</x:f>
        <x:v>336</x:v>
      </x:c>
    </x:row>
    <x:row r="31" ht="18" customHeight="1">
      <x:c r="A31" s="9" t="inlineStr">
        <x:is>
          <x:t xml:space="preserve">EMP-030</x:t>
        </x:is>
      </x:c>
      <x:c r="B31" s="9" t="inlineStr">
        <x:is>
          <x:t xml:space="preserve">Origen Nexo Tinguiririca S.A.</x:t>
        </x:is>
      </x:c>
      <x:c r="C31" s="10" t="inlineStr">
        <x:is>
          <x:t xml:space="preserve">Origen Nexo Tinguiririca Industrial Prefabricada S.A.</x:t>
        </x:is>
      </x:c>
      <x:c r="D31" s="9" t="inlineStr">
        <x:is>
          <x:t xml:space="preserve">76.004.152-1</x:t>
        </x:is>
      </x:c>
      <x:c r="E31" s="9" t="inlineStr">
        <x:is>
          <x:t xml:space="preserve">Sí</x:t>
        </x:is>
      </x:c>
      <x:c r="F31" s="9" t="n">
        <x:v>2024</x:v>
      </x:c>
      <x:c r="G31" s="10" t="inlineStr">
        <x:is>
          <x:t xml:space="preserve">STEEL_FRAME, SIP, MODULAR_TIMBER, HYBRID_MODULAR</x:t>
        </x:is>
      </x:c>
      <x:c r="H31" s="10" t="inlineStr">
        <x:is>
          <x:t xml:space="preserve">Control dimensional BIM en taller; ISO 14001:2015; Procedimientos de soldadura calificados</x:t>
        </x:is>
      </x:c>
      <x:c r="I31" s="9" t="inlineStr">
        <x:is>
          <x:t xml:space="preserve">contacto@origennexotinguiri.cl</x:t>
        </x:is>
      </x:c>
      <x:c r="J31" s="9" t="inlineStr">
        <x:is>
          <x:t xml:space="preserve">https://www.origennexotinguiri.cl</x:t>
        </x:is>
      </x:c>
      <x:c r="K31" s="9" t="inlineStr">
        <x:is>
          <x:t xml:space="preserve">+56 9 6529 7211</x:t>
        </x:is>
      </x:c>
      <x:c r="L31" s="9" t="inlineStr">
        <x:is>
          <x:t xml:space="preserve">+56 51 8308315</x:t>
        </x:is>
      </x:c>
      <x:c r="M31" s="9" t="inlineStr">
        <x:is>
          <x:t xml:space="preserve">Los La Montaña 1982</x:t>
        </x:is>
      </x:c>
      <x:c r="N31" s="9" t="inlineStr">
        <x:is>
          <x:t xml:space="preserve">Talcahuano</x:t>
        </x:is>
      </x:c>
      <x:c r="O31" s="9" t="inlineStr">
        <x:is>
          <x:t xml:space="preserve">Concepción</x:t>
        </x:is>
      </x:c>
      <x:c r="P31" s="9" t="inlineStr">
        <x:is>
          <x:t xml:space="preserve">Biobío</x:t>
        </x:is>
      </x:c>
      <x:c r="Q31" s="11" t="n">
        <x:v>-36.774923</x:v>
      </x:c>
      <x:c r="R31" s="11" t="n">
        <x:v>-73.155175</x:v>
      </x:c>
      <x:c r="S31" s="12" t="n">
        <x:v>4200</x:v>
      </x:c>
      <x:c r="T31" s="9" t="inlineStr">
        <x:is>
          <x:t xml:space="preserve">Regional</x:t>
        </x:is>
      </x:c>
      <x:c r="U31" s="10" t="inlineStr">
        <x:is>
          <x:t xml:space="preserve">Especialista en soluciones de rápida instalación.</x:t>
        </x:is>
      </x:c>
      <x:c r="V31" s="13">
        <x:f>COUNTIF(Modelos_Casa!$B:$B,A31)</x:f>
        <x:v>5</x:v>
      </x:c>
      <x:c r="W31" s="13">
        <x:f>COUNTIF(Proyectos!$B:$B,A31)</x:f>
        <x:v>3</x:v>
      </x:c>
      <x:c r="X31" s="14">
        <x:f>SUMIF(Proyectos!$B:$B,A31,Proyectos!$H:$H)</x:f>
        <x:v>341.4</x:v>
      </x:c>
    </x:row>
    <x:row r="32" ht="18" customHeight="1">
      <x:c r="A32" s="9" t="inlineStr">
        <x:is>
          <x:t xml:space="preserve">EMP-031</x:t>
        </x:is>
      </x:c>
      <x:c r="B32" s="9" t="inlineStr">
        <x:is>
          <x:t xml:space="preserve">Urbem Frame Rapel Ltda.</x:t>
        </x:is>
      </x:c>
      <x:c r="C32" s="10" t="inlineStr">
        <x:is>
          <x:t xml:space="preserve">Urbem Frame Rapel Soluciones Habitacionales Ltda.</x:t>
        </x:is>
      </x:c>
      <x:c r="D32" s="9" t="inlineStr">
        <x:is>
          <x:t xml:space="preserve">76.004.331-1</x:t>
        </x:is>
      </x:c>
      <x:c r="E32" s="9" t="inlineStr">
        <x:is>
          <x:t xml:space="preserve">Sí</x:t>
        </x:is>
      </x:c>
      <x:c r="F32" s="9" t="n">
        <x:v>2024</x:v>
      </x:c>
      <x:c r="G32" s="10" t="inlineStr">
        <x:is>
          <x:t xml:space="preserve">SIP, MODULAR_TIMBER, STEEL_FRAME, HYBRID_MODULAR</x:t>
        </x:is>
      </x:c>
      <x:c r="H32" s="10" t="inlineStr">
        <x:is>
          <x:t xml:space="preserve">ISO 45001:2018; ISO 9001:2015; Protocolos internos SEC para instalaciones</x:t>
        </x:is>
      </x:c>
      <x:c r="I32" s="9" t="inlineStr">
        <x:is>
          <x:t xml:space="preserve">contacto@urbemframerapelltd.cl</x:t>
        </x:is>
      </x:c>
      <x:c r="J32" s="9" t="inlineStr">
        <x:is>
          <x:t xml:space="preserve">https://www.urbemframerapelltd.cl</x:t>
        </x:is>
      </x:c>
      <x:c r="K32" s="9" t="inlineStr">
        <x:is>
          <x:t xml:space="preserve">+56 9 1659 1508</x:t>
        </x:is>
      </x:c>
      <x:c r="L32" s="9" t="inlineStr">
        <x:is>
          <x:t xml:space="preserve">+56 45 3672358</x:t>
        </x:is>
      </x:c>
      <x:c r="M32" s="9" t="inlineStr">
        <x:is>
          <x:t xml:space="preserve">Ruta El Maitén 401</x:t>
        </x:is>
      </x:c>
      <x:c r="N32" s="9" t="inlineStr">
        <x:is>
          <x:t xml:space="preserve">Temuco</x:t>
        </x:is>
      </x:c>
      <x:c r="O32" s="9" t="inlineStr">
        <x:is>
          <x:t xml:space="preserve">Temuco</x:t>
        </x:is>
      </x:c>
      <x:c r="P32" s="9" t="inlineStr">
        <x:is>
          <x:t xml:space="preserve">La Araucanía</x:t>
        </x:is>
      </x:c>
      <x:c r="Q32" s="11" t="n">
        <x:v>-38.807566</x:v>
      </x:c>
      <x:c r="R32" s="11" t="n">
        <x:v>-72.51809299999999</x:v>
      </x:c>
      <x:c r="S32" s="12" t="n">
        <x:v>1800</x:v>
      </x:c>
      <x:c r="T32" s="9" t="inlineStr">
        <x:is>
          <x:t xml:space="preserve">Macrozona sur</x:t>
        </x:is>
      </x:c>
      <x:c r="U32" s="10" t="inlineStr">
        <x:is>
          <x:t xml:space="preserve">Opera con fabricación en taller y montaje en sitio.</x:t>
        </x:is>
      </x:c>
      <x:c r="V32" s="13">
        <x:f>COUNTIF(Modelos_Casa!$B:$B,A32)</x:f>
        <x:v>5</x:v>
      </x:c>
      <x:c r="W32" s="13">
        <x:f>COUNTIF(Proyectos!$B:$B,A32)</x:f>
        <x:v>3</x:v>
      </x:c>
      <x:c r="X32" s="14">
        <x:f>SUMIF(Proyectos!$B:$B,A32,Proyectos!$H:$H)</x:f>
        <x:v>343.6</x:v>
      </x:c>
    </x:row>
    <x:row r="33" ht="18" customHeight="1">
      <x:c r="A33" s="9" t="inlineStr">
        <x:is>
          <x:t xml:space="preserve">EMP-032</x:t>
        </x:is>
      </x:c>
      <x:c r="B33" s="9" t="inlineStr">
        <x:is>
          <x:t xml:space="preserve">Vértice Vivienda Rupanco SpA</x:t>
        </x:is>
      </x:c>
      <x:c r="C33" s="10" t="inlineStr">
        <x:is>
          <x:t xml:space="preserve">Vértice Vivienda Rupanco Servicios Integrados SpA</x:t>
        </x:is>
      </x:c>
      <x:c r="D33" s="9" t="inlineStr">
        <x:is>
          <x:t xml:space="preserve">76.004.462-8</x:t>
        </x:is>
      </x:c>
      <x:c r="E33" s="9" t="inlineStr">
        <x:is>
          <x:t xml:space="preserve">Sí</x:t>
        </x:is>
      </x:c>
      <x:c r="F33" s="9" t="n">
        <x:v>2020</x:v>
      </x:c>
      <x:c r="G33" s="10" t="inlineStr">
        <x:is>
          <x:t xml:space="preserve">SIP, STEEL_FRAME, CONTAINER, HYBRID_MODULAR</x:t>
        </x:is>
      </x:c>
      <x:c r="H33" s="10" t="inlineStr">
        <x:is>
          <x:t xml:space="preserve">Control dimensional BIM en taller; ISO 9001:2015; Procedimientos de soldadura calificados</x:t>
        </x:is>
      </x:c>
      <x:c r="I33" s="9" t="inlineStr">
        <x:is>
          <x:t xml:space="preserve">contacto@verticeviviendarup.cl</x:t>
        </x:is>
      </x:c>
      <x:c r="J33" s="9" t="inlineStr">
        <x:is>
          <x:t xml:space="preserve">https://www.verticeviviendarup.cl</x:t>
        </x:is>
      </x:c>
      <x:c r="K33" s="9" t="inlineStr">
        <x:is>
          <x:t xml:space="preserve">+56 9 2876 3683</x:t>
        </x:is>
      </x:c>
      <x:c r="L33" s="9" t="inlineStr">
        <x:is>
          <x:t xml:space="preserve">+56 51 2906798</x:t>
        </x:is>
      </x:c>
      <x:c r="M33" s="9" t="inlineStr">
        <x:is>
          <x:t xml:space="preserve">Calle El Estero 807</x:t>
        </x:is>
      </x:c>
      <x:c r="N33" s="9" t="inlineStr">
        <x:is>
          <x:t xml:space="preserve">Pucón</x:t>
        </x:is>
      </x:c>
      <x:c r="O33" s="9" t="inlineStr">
        <x:is>
          <x:t xml:space="preserve">Pucón</x:t>
        </x:is>
      </x:c>
      <x:c r="P33" s="9" t="inlineStr">
        <x:is>
          <x:t xml:space="preserve">La Araucanía</x:t>
        </x:is>
      </x:c>
      <x:c r="Q33" s="11" t="n">
        <x:v>-39.271765</x:v>
      </x:c>
      <x:c r="R33" s="11" t="n">
        <x:v>-71.999726</x:v>
      </x:c>
      <x:c r="S33" s="12" t="n">
        <x:v>3600</x:v>
      </x:c>
      <x:c r="T33" s="9" t="inlineStr">
        <x:is>
          <x:t xml:space="preserve">Centro-sur</x:t>
        </x:is>
      </x:c>
      <x:c r="U33" s="10" t="inlineStr">
        <x:is>
          <x:t xml:space="preserve">Incluye coordinación de especialidades y transporte de módulos.</x:t>
        </x:is>
      </x:c>
      <x:c r="V33" s="13">
        <x:f>COUNTIF(Modelos_Casa!$B:$B,A33)</x:f>
        <x:v>5</x:v>
      </x:c>
      <x:c r="W33" s="13">
        <x:f>COUNTIF(Proyectos!$B:$B,A33)</x:f>
        <x:v>3</x:v>
      </x:c>
      <x:c r="X33" s="14">
        <x:f>SUMIF(Proyectos!$B:$B,A33,Proyectos!$H:$H)</x:f>
        <x:v>338.5</x:v>
      </x:c>
    </x:row>
    <x:row r="34" ht="18" customHeight="1">
      <x:c r="A34" s="9" t="inlineStr">
        <x:is>
          <x:t xml:space="preserve">EMP-033</x:t>
        </x:is>
      </x:c>
      <x:c r="B34" s="9" t="inlineStr">
        <x:is>
          <x:t xml:space="preserve">Geo Panel Laja S.A.</x:t>
        </x:is>
      </x:c>
      <x:c r="C34" s="10" t="inlineStr">
        <x:is>
          <x:t xml:space="preserve">Geo Panel Laja Industrial Prefabricada S.A.</x:t>
        </x:is>
      </x:c>
      <x:c r="D34" s="9" t="inlineStr">
        <x:is>
          <x:t xml:space="preserve">76.004.609-4</x:t>
        </x:is>
      </x:c>
      <x:c r="E34" s="9" t="inlineStr">
        <x:is>
          <x:t xml:space="preserve">Sí</x:t>
        </x:is>
      </x:c>
      <x:c r="F34" s="9" t="n">
        <x:v>2017</x:v>
      </x:c>
      <x:c r="G34" s="10" t="inlineStr">
        <x:is>
          <x:t xml:space="preserve">MODULAR_TIMBER, SIP, HYBRID_MODULAR, STEEL_FRAME</x:t>
        </x:is>
      </x:c>
      <x:c r="H34" s="10" t="inlineStr">
        <x:is>
          <x:t xml:space="preserve">Cadena de custodia FSC (madera); ISO 14001:2015; Programa interno de trazabilidad de módulos</x:t>
        </x:is>
      </x:c>
      <x:c r="I34" s="9" t="inlineStr">
        <x:is>
          <x:t xml:space="preserve">contacto@geopanellajasa.cl</x:t>
        </x:is>
      </x:c>
      <x:c r="J34" s="9" t="inlineStr">
        <x:is>
          <x:t xml:space="preserve">https://www.geopanellajasa.cl</x:t>
        </x:is>
      </x:c>
      <x:c r="K34" s="9" t="inlineStr">
        <x:is>
          <x:t xml:space="preserve">+56 9 2983 1672</x:t>
        </x:is>
      </x:c>
      <x:c r="L34" s="9" t="inlineStr">
        <x:is>
          <x:t xml:space="preserve">+56 52 6468991</x:t>
        </x:is>
      </x:c>
      <x:c r="M34" s="9" t="inlineStr">
        <x:is>
          <x:t xml:space="preserve">Ruta Parque Industrial Sur 1355</x:t>
        </x:is>
      </x:c>
      <x:c r="N34" s="9" t="inlineStr">
        <x:is>
          <x:t xml:space="preserve">Villarrica</x:t>
        </x:is>
      </x:c>
      <x:c r="O34" s="9" t="inlineStr">
        <x:is>
          <x:t xml:space="preserve">Villarrica</x:t>
        </x:is>
      </x:c>
      <x:c r="P34" s="9" t="inlineStr">
        <x:is>
          <x:t xml:space="preserve">La Araucanía</x:t>
        </x:is>
      </x:c>
      <x:c r="Q34" s="11" t="n">
        <x:v>-39.349641</x:v>
      </x:c>
      <x:c r="R34" s="11" t="n">
        <x:v>-72.196702</x:v>
      </x:c>
      <x:c r="S34" s="12" t="n">
        <x:v>1200</x:v>
      </x:c>
      <x:c r="T34" s="9" t="inlineStr">
        <x:is>
          <x:t xml:space="preserve">Sur austral</x:t>
        </x:is>
      </x:c>
      <x:c r="U34" s="10" t="inlineStr">
        <x:is>
          <x:t xml:space="preserve">Enfoque en proyectos rurales, parcelas y segunda vivienda.</x:t>
        </x:is>
      </x:c>
      <x:c r="V34" s="13">
        <x:f>COUNTIF(Modelos_Casa!$B:$B,A34)</x:f>
        <x:v>5</x:v>
      </x:c>
      <x:c r="W34" s="13">
        <x:f>COUNTIF(Proyectos!$B:$B,A34)</x:f>
        <x:v>3</x:v>
      </x:c>
      <x:c r="X34" s="14">
        <x:f>SUMIF(Proyectos!$B:$B,A34,Proyectos!$H:$H)</x:f>
        <x:v>510.20000000000005</x:v>
      </x:c>
    </x:row>
    <x:row r="35" ht="18" customHeight="1">
      <x:c r="A35" s="9" t="inlineStr">
        <x:is>
          <x:t xml:space="preserve">EMP-034</x:t>
        </x:is>
      </x:c>
      <x:c r="B35" s="9" t="inlineStr">
        <x:is>
          <x:t xml:space="preserve">Minga Construct Imperial SpA</x:t>
        </x:is>
      </x:c>
      <x:c r="C35" s="10" t="inlineStr">
        <x:is>
          <x:t xml:space="preserve">Minga Construct Imperial Servicios Integrados SpA</x:t>
        </x:is>
      </x:c>
      <x:c r="D35" s="9" t="inlineStr">
        <x:is>
          <x:t xml:space="preserve">76.004.678-7</x:t>
        </x:is>
      </x:c>
      <x:c r="E35" s="9" t="inlineStr">
        <x:is>
          <x:t xml:space="preserve">Sí</x:t>
        </x:is>
      </x:c>
      <x:c r="F35" s="9" t="n">
        <x:v>2021</x:v>
      </x:c>
      <x:c r="G35" s="10" t="inlineStr">
        <x:is>
          <x:t xml:space="preserve">CONTAINER, HYBRID_MODULAR, SIP, STEEL_FRAME</x:t>
        </x:is>
      </x:c>
      <x:c r="H35" s="10" t="inlineStr">
        <x:is>
          <x:t xml:space="preserve">Control dimensional BIM en taller; Ensayos referenciales de panel SIP NCh3393; Plan de gestión de residuos de obra</x:t>
        </x:is>
      </x:c>
      <x:c r="I35" s="9" t="inlineStr">
        <x:is>
          <x:t xml:space="preserve">contacto@mingaconstructimpe.cl</x:t>
        </x:is>
      </x:c>
      <x:c r="J35" s="9" t="inlineStr">
        <x:is>
          <x:t xml:space="preserve">https://www.mingaconstructimpe.cl</x:t>
        </x:is>
      </x:c>
      <x:c r="K35" s="9" t="inlineStr">
        <x:is>
          <x:t xml:space="preserve">+56 9 8135 3885</x:t>
        </x:is>
      </x:c>
      <x:c r="L35" s="9" t="inlineStr">
        <x:is>
          <x:t xml:space="preserve">+56 64 6376728</x:t>
        </x:is>
      </x:c>
      <x:c r="M35" s="9" t="inlineStr">
        <x:is>
          <x:t xml:space="preserve">Los El Maitén 2003</x:t>
        </x:is>
      </x:c>
      <x:c r="N35" s="9" t="inlineStr">
        <x:is>
          <x:t xml:space="preserve">Valdivia</x:t>
        </x:is>
      </x:c>
      <x:c r="O35" s="9" t="inlineStr">
        <x:is>
          <x:t xml:space="preserve">Valdivia</x:t>
        </x:is>
      </x:c>
      <x:c r="P35" s="9" t="inlineStr">
        <x:is>
          <x:t xml:space="preserve">Los Ríos</x:t>
        </x:is>
      </x:c>
      <x:c r="Q35" s="11" t="n">
        <x:v>-39.768027</x:v>
      </x:c>
      <x:c r="R35" s="11" t="n">
        <x:v>-73.308314</x:v>
      </x:c>
      <x:c r="S35" s="12" t="n">
        <x:v>4200</x:v>
      </x:c>
      <x:c r="T35" s="9" t="inlineStr">
        <x:is>
          <x:t xml:space="preserve">Macrozona sur</x:t>
        </x:is>
      </x:c>
      <x:c r="U35" s="10" t="inlineStr">
        <x:is>
          <x:t xml:space="preserve">Especialista en soluciones de rápida instalación.</x:t>
        </x:is>
      </x:c>
      <x:c r="V35" s="13">
        <x:f>COUNTIF(Modelos_Casa!$B:$B,A35)</x:f>
        <x:v>5</x:v>
      </x:c>
      <x:c r="W35" s="13">
        <x:f>COUNTIF(Proyectos!$B:$B,A35)</x:f>
        <x:v>3</x:v>
      </x:c>
      <x:c r="X35" s="14">
        <x:f>SUMIF(Proyectos!$B:$B,A35,Proyectos!$H:$H)</x:f>
        <x:v>331.8</x:v>
      </x:c>
    </x:row>
    <x:row r="36" ht="18" customHeight="1">
      <x:c r="A36" s="9" t="inlineStr">
        <x:is>
          <x:t xml:space="preserve">EMP-035</x:t>
        </x:is>
      </x:c>
      <x:c r="B36" s="9" t="inlineStr">
        <x:is>
          <x:t xml:space="preserve">Futuro Casa Petorca S.A.</x:t>
        </x:is>
      </x:c>
      <x:c r="C36" s="10" t="inlineStr">
        <x:is>
          <x:t xml:space="preserve">Futuro Casa Petorca Industrial Prefabricada S.A.</x:t>
        </x:is>
      </x:c>
      <x:c r="D36" s="9" t="inlineStr">
        <x:is>
          <x:t xml:space="preserve">76.004.827-5</x:t>
        </x:is>
      </x:c>
      <x:c r="E36" s="9" t="inlineStr">
        <x:is>
          <x:t xml:space="preserve">Sí</x:t>
        </x:is>
      </x:c>
      <x:c r="F36" s="9" t="n">
        <x:v>2018</x:v>
      </x:c>
      <x:c r="G36" s="10" t="inlineStr">
        <x:is>
          <x:t xml:space="preserve">STEEL_FRAME, SIP, MODULAR_TIMBER, HYBRID_MODULAR</x:t>
        </x:is>
      </x:c>
      <x:c r="H36" s="10" t="inlineStr">
        <x:is>
          <x:t xml:space="preserve">Cadena de custodia FSC (madera); Ensayos referenciales de panel SIP NCh3393; ISO 45001:2018</x:t>
        </x:is>
      </x:c>
      <x:c r="I36" s="9" t="inlineStr">
        <x:is>
          <x:t xml:space="preserve">contacto@futurocasapetorcas.cl</x:t>
        </x:is>
      </x:c>
      <x:c r="J36" s="9" t="inlineStr">
        <x:is>
          <x:t xml:space="preserve">https://www.futurocasapetorcas.cl</x:t>
        </x:is>
      </x:c>
      <x:c r="K36" s="9" t="inlineStr">
        <x:is>
          <x:t xml:space="preserve">+56 9 8613 7209</x:t>
        </x:is>
      </x:c>
      <x:c r="L36" s="9" t="inlineStr">
        <x:is>
          <x:t xml:space="preserve">+56 52 2240753</x:t>
        </x:is>
      </x:c>
      <x:c r="M36" s="9" t="inlineStr">
        <x:is>
          <x:t xml:space="preserve">Camino Los Rieles 1966</x:t>
        </x:is>
      </x:c>
      <x:c r="N36" s="9" t="inlineStr">
        <x:is>
          <x:t xml:space="preserve">Panguipulli</x:t>
        </x:is>
      </x:c>
      <x:c r="O36" s="9" t="inlineStr">
        <x:is>
          <x:t xml:space="preserve">Panguipulli</x:t>
        </x:is>
      </x:c>
      <x:c r="P36" s="9" t="inlineStr">
        <x:is>
          <x:t xml:space="preserve">Los Ríos</x:t>
        </x:is>
      </x:c>
      <x:c r="Q36" s="11" t="n">
        <x:v>-39.679857</x:v>
      </x:c>
      <x:c r="R36" s="11" t="n">
        <x:v>-72.275826</x:v>
      </x:c>
      <x:c r="S36" s="12" t="n">
        <x:v>2200</x:v>
      </x:c>
      <x:c r="T36" s="9" t="inlineStr">
        <x:is>
          <x:t xml:space="preserve">Macrozona centro</x:t>
        </x:is>
      </x:c>
      <x:c r="U36" s="10" t="inlineStr">
        <x:is>
          <x:t xml:space="preserve">Oferta orientada a viviendas llave en mano y ampliaciones.</x:t>
        </x:is>
      </x:c>
      <x:c r="V36" s="13">
        <x:f>COUNTIF(Modelos_Casa!$B:$B,A36)</x:f>
        <x:v>5</x:v>
      </x:c>
      <x:c r="W36" s="13">
        <x:f>COUNTIF(Proyectos!$B:$B,A36)</x:f>
        <x:v>3</x:v>
      </x:c>
      <x:c r="X36" s="14">
        <x:f>SUMIF(Proyectos!$B:$B,A36,Proyectos!$H:$H)</x:f>
        <x:v>190.9</x:v>
      </x:c>
    </x:row>
    <x:row r="37" ht="18" customHeight="1">
      <x:c r="A37" s="9" t="inlineStr">
        <x:is>
          <x:t xml:space="preserve">EMP-036</x:t>
        </x:is>
      </x:c>
      <x:c r="B37" s="9" t="inlineStr">
        <x:is>
          <x:t xml:space="preserve">Futuro Módulo Huasco EIRL</x:t>
        </x:is>
      </x:c>
      <x:c r="C37" s="10" t="inlineStr">
        <x:is>
          <x:t xml:space="preserve">Futuro Módulo Huasco Ingeniería Habitacional EIRL</x:t>
        </x:is>
      </x:c>
      <x:c r="D37" s="9" t="inlineStr">
        <x:is>
          <x:t xml:space="preserve">76.004.999-9</x:t>
        </x:is>
      </x:c>
      <x:c r="E37" s="9" t="inlineStr">
        <x:is>
          <x:t xml:space="preserve">Sí</x:t>
        </x:is>
      </x:c>
      <x:c r="F37" s="9" t="n">
        <x:v>2017</x:v>
      </x:c>
      <x:c r="G37" s="10" t="inlineStr">
        <x:is>
          <x:t xml:space="preserve">SIP, MODULAR_TIMBER, STEEL_FRAME, HYBRID_MODULAR</x:t>
        </x:is>
      </x:c>
      <x:c r="H37" s="10" t="inlineStr">
        <x:is>
          <x:t xml:space="preserve">Ensayos referenciales de panel SIP NCh3393; Plan de gestión de residuos de obra; Protocolos internos SEC para instalaciones</x:t>
        </x:is>
      </x:c>
      <x:c r="I37" s="9" t="inlineStr">
        <x:is>
          <x:t xml:space="preserve">contacto@futuromodulohuasco.cl</x:t>
        </x:is>
      </x:c>
      <x:c r="J37" s="9" t="inlineStr">
        <x:is>
          <x:t xml:space="preserve">https://www.futuromodulohuasco.cl</x:t>
        </x:is>
      </x:c>
      <x:c r="K37" s="9" t="inlineStr">
        <x:is>
          <x:t xml:space="preserve">+56 9 4130 2402</x:t>
        </x:is>
      </x:c>
      <x:c r="L37" s="9" t="inlineStr">
        <x:is>
          <x:t xml:space="preserve">+56 45 8040424</x:t>
        </x:is>
      </x:c>
      <x:c r="M37" s="9" t="inlineStr">
        <x:is>
          <x:t xml:space="preserve">Calle Las Dunas 161</x:t>
        </x:is>
      </x:c>
      <x:c r="N37" s="9" t="inlineStr">
        <x:is>
          <x:t xml:space="preserve">La Unión</x:t>
        </x:is>
      </x:c>
      <x:c r="O37" s="9" t="inlineStr">
        <x:is>
          <x:t xml:space="preserve">La Unión</x:t>
        </x:is>
      </x:c>
      <x:c r="P37" s="9" t="inlineStr">
        <x:is>
          <x:t xml:space="preserve">Los Ríos</x:t>
        </x:is>
      </x:c>
      <x:c r="Q37" s="11" t="n">
        <x:v>-40.319546</x:v>
      </x:c>
      <x:c r="R37" s="11" t="n">
        <x:v>-73.022049</x:v>
      </x:c>
      <x:c r="S37" s="12" t="n">
        <x:v>4200</x:v>
      </x:c>
      <x:c r="T37" s="9" t="inlineStr">
        <x:is>
          <x:t xml:space="preserve">Centro-sur</x:t>
        </x:is>
      </x:c>
      <x:c r="U37" s="10" t="inlineStr">
        <x:is>
          <x:t xml:space="preserve">Enfoque en proyectos rurales, parcelas y segunda vivienda.</x:t>
        </x:is>
      </x:c>
      <x:c r="V37" s="13">
        <x:f>COUNTIF(Modelos_Casa!$B:$B,A37)</x:f>
        <x:v>5</x:v>
      </x:c>
      <x:c r="W37" s="13">
        <x:f>COUNTIF(Proyectos!$B:$B,A37)</x:f>
        <x:v>3</x:v>
      </x:c>
      <x:c r="X37" s="14">
        <x:f>SUMIF(Proyectos!$B:$B,A37,Proyectos!$H:$H)</x:f>
        <x:v>474</x:v>
      </x:c>
    </x:row>
    <x:row r="38" ht="18" customHeight="1">
      <x:c r="A38" s="9" t="inlineStr">
        <x:is>
          <x:t xml:space="preserve">EMP-037</x:t>
        </x:is>
      </x:c>
      <x:c r="B38" s="9" t="inlineStr">
        <x:is>
          <x:t xml:space="preserve">Urbem Módulo Linares Ltda.</x:t>
        </x:is>
      </x:c>
      <x:c r="C38" s="10" t="inlineStr">
        <x:is>
          <x:t xml:space="preserve">Urbem Módulo Linares Soluciones Habitacionales Ltda.</x:t>
        </x:is>
      </x:c>
      <x:c r="D38" s="9" t="inlineStr">
        <x:is>
          <x:t xml:space="preserve">76.005.158-6</x:t>
        </x:is>
      </x:c>
      <x:c r="E38" s="9" t="inlineStr">
        <x:is>
          <x:t xml:space="preserve">Sí</x:t>
        </x:is>
      </x:c>
      <x:c r="F38" s="9" t="n">
        <x:v>2016</x:v>
      </x:c>
      <x:c r="G38" s="10" t="inlineStr">
        <x:is>
          <x:t xml:space="preserve">SIP, STEEL_FRAME, CONTAINER, HYBRID_MODULAR</x:t>
        </x:is>
      </x:c>
      <x:c r="H38" s="10" t="inlineStr">
        <x:is>
          <x:t xml:space="preserve">Cadena de custodia FSC (madera); Ensayos referenciales de panel SIP NCh3393; Plan de gestión de residuos de obra</x:t>
        </x:is>
      </x:c>
      <x:c r="I38" s="9" t="inlineStr">
        <x:is>
          <x:t xml:space="preserve">contacto@urbemmodulolinares.cl</x:t>
        </x:is>
      </x:c>
      <x:c r="J38" s="9" t="inlineStr">
        <x:is>
          <x:t xml:space="preserve">https://www.urbemmodulolinares.cl</x:t>
        </x:is>
      </x:c>
      <x:c r="K38" s="9" t="inlineStr">
        <x:is>
          <x:t xml:space="preserve">+56 9 4986 6016</x:t>
        </x:is>
      </x:c>
      <x:c r="L38" s="9" t="inlineStr">
        <x:is>
          <x:t xml:space="preserve">+56 63 6878441</x:t>
        </x:is>
      </x:c>
      <x:c r="M38" s="9" t="inlineStr">
        <x:is>
          <x:t xml:space="preserve">Calle Las Araucarias 1776</x:t>
        </x:is>
      </x:c>
      <x:c r="N38" s="9" t="inlineStr">
        <x:is>
          <x:t xml:space="preserve">Osorno</x:t>
        </x:is>
      </x:c>
      <x:c r="O38" s="9" t="inlineStr">
        <x:is>
          <x:t xml:space="preserve">Osorno</x:t>
        </x:is>
      </x:c>
      <x:c r="P38" s="9" t="inlineStr">
        <x:is>
          <x:t xml:space="preserve">Los Lagos</x:t>
        </x:is>
      </x:c>
      <x:c r="Q38" s="11" t="n">
        <x:v>-40.582192</x:v>
      </x:c>
      <x:c r="R38" s="11" t="n">
        <x:v>-73.210741</x:v>
      </x:c>
      <x:c r="S38" s="12" t="n">
        <x:v>3600</x:v>
      </x:c>
      <x:c r="T38" s="9" t="inlineStr">
        <x:is>
          <x:t xml:space="preserve">Centro-sur</x:t>
        </x:is>
      </x:c>
      <x:c r="U38" s="10" t="inlineStr">
        <x:is>
          <x:t xml:space="preserve">Especialista en soluciones de rápida instalación.</x:t>
        </x:is>
      </x:c>
      <x:c r="V38" s="13">
        <x:f>COUNTIF(Modelos_Casa!$B:$B,A38)</x:f>
        <x:v>5</x:v>
      </x:c>
      <x:c r="W38" s="13">
        <x:f>COUNTIF(Proyectos!$B:$B,A38)</x:f>
        <x:v>3</x:v>
      </x:c>
      <x:c r="X38" s="14">
        <x:f>SUMIF(Proyectos!$B:$B,A38,Proyectos!$H:$H)</x:f>
        <x:v>333.9</x:v>
      </x:c>
    </x:row>
    <x:row r="39" ht="18" customHeight="1">
      <x:c r="A39" s="9" t="inlineStr">
        <x:is>
          <x:t xml:space="preserve">EMP-038</x:t>
        </x:is>
      </x:c>
      <x:c r="B39" s="9" t="inlineStr">
        <x:is>
          <x:t xml:space="preserve">Habita Prefab Copihue Ltda.</x:t>
        </x:is>
      </x:c>
      <x:c r="C39" s="10" t="inlineStr">
        <x:is>
          <x:t xml:space="preserve">Habita Prefab Copihue Soluciones Habitacionales Ltda.</x:t>
        </x:is>
      </x:c>
      <x:c r="D39" s="9" t="inlineStr">
        <x:is>
          <x:t xml:space="preserve">76.005.236-1</x:t>
        </x:is>
      </x:c>
      <x:c r="E39" s="9" t="inlineStr">
        <x:is>
          <x:t xml:space="preserve">Sí</x:t>
        </x:is>
      </x:c>
      <x:c r="F39" s="9" t="n">
        <x:v>2022</x:v>
      </x:c>
      <x:c r="G39" s="10" t="inlineStr">
        <x:is>
          <x:t xml:space="preserve">MODULAR_TIMBER, SIP, HYBRID_MODULAR, STEEL_FRAME</x:t>
        </x:is>
      </x:c>
      <x:c r="H39" s="10" t="inlineStr">
        <x:is>
          <x:t xml:space="preserve">ISO 45001:2018; Plan de gestión de residuos de obra; Protocolos internos SEC para instalaciones</x:t>
        </x:is>
      </x:c>
      <x:c r="I39" s="9" t="inlineStr">
        <x:is>
          <x:t xml:space="preserve">contacto@habitaprefabcopihu.cl</x:t>
        </x:is>
      </x:c>
      <x:c r="J39" s="9" t="inlineStr">
        <x:is>
          <x:t xml:space="preserve">https://www.habitaprefabcopihu.cl</x:t>
        </x:is>
      </x:c>
      <x:c r="K39" s="9" t="inlineStr">
        <x:is>
          <x:t xml:space="preserve">+56 9 2976 4155</x:t>
        </x:is>
      </x:c>
      <x:c r="L39" s="9" t="inlineStr">
        <x:is>
          <x:t xml:space="preserve">+56 52 3002897</x:t>
        </x:is>
      </x:c>
      <x:c r="M39" s="9" t="inlineStr">
        <x:is>
          <x:t xml:space="preserve">Calle Nueva Esperanza 1149</x:t>
        </x:is>
      </x:c>
      <x:c r="N39" s="9" t="inlineStr">
        <x:is>
          <x:t xml:space="preserve">Puerto Varas</x:t>
        </x:is>
      </x:c>
      <x:c r="O39" s="9" t="inlineStr">
        <x:is>
          <x:t xml:space="preserve">Puerto Varas</x:t>
        </x:is>
      </x:c>
      <x:c r="P39" s="9" t="inlineStr">
        <x:is>
          <x:t xml:space="preserve">Los Lagos</x:t>
        </x:is>
      </x:c>
      <x:c r="Q39" s="11" t="n">
        <x:v>-41.344073</x:v>
      </x:c>
      <x:c r="R39" s="11" t="n">
        <x:v>-72.95344299999999</x:v>
      </x:c>
      <x:c r="S39" s="12" t="n">
        <x:v>2200</x:v>
      </x:c>
      <x:c r="T39" s="9" t="inlineStr">
        <x:is>
          <x:t xml:space="preserve">Centro-sur</x:t>
        </x:is>
      </x:c>
      <x:c r="U39" s="10" t="inlineStr">
        <x:is>
          <x:t xml:space="preserve">Enfoque en proyectos rurales, parcelas y segunda vivienda.</x:t>
        </x:is>
      </x:c>
      <x:c r="V39" s="13">
        <x:f>COUNTIF(Modelos_Casa!$B:$B,A39)</x:f>
        <x:v>5</x:v>
      </x:c>
      <x:c r="W39" s="13">
        <x:f>COUNTIF(Proyectos!$B:$B,A39)</x:f>
        <x:v>3</x:v>
      </x:c>
      <x:c r="X39" s="14">
        <x:f>SUMIF(Proyectos!$B:$B,A39,Proyectos!$H:$H)</x:f>
        <x:v>429.09999999999997</x:v>
      </x:c>
    </x:row>
    <x:row r="40" ht="18" customHeight="1">
      <x:c r="A40" s="9" t="inlineStr">
        <x:is>
          <x:t xml:space="preserve">EMP-039</x:t>
        </x:is>
      </x:c>
      <x:c r="B40" s="9" t="inlineStr">
        <x:is>
          <x:t xml:space="preserve">Xile Frame Chiloé Group SpA</x:t>
        </x:is>
      </x:c>
      <x:c r="C40" s="10" t="inlineStr">
        <x:is>
          <x:t xml:space="preserve">Xile Frame Chiloé Group Servicios Integrados SpA</x:t>
        </x:is>
      </x:c>
      <x:c r="D40" s="9" t="inlineStr">
        <x:is>
          <x:t xml:space="preserve">76.005.381-3</x:t>
        </x:is>
      </x:c>
      <x:c r="E40" s="9" t="inlineStr">
        <x:is>
          <x:t xml:space="preserve">Sí</x:t>
        </x:is>
      </x:c>
      <x:c r="F40" s="9" t="n">
        <x:v>2011</x:v>
      </x:c>
      <x:c r="G40" s="10" t="inlineStr">
        <x:is>
          <x:t xml:space="preserve">CONTAINER, HYBRID_MODULAR, SIP, STEEL_FRAME</x:t>
        </x:is>
      </x:c>
      <x:c r="H40" s="10" t="inlineStr">
        <x:is>
          <x:t xml:space="preserve">Control dimensional BIM en taller; ISO 45001:2018; Plan de gestión de residuos de obra</x:t>
        </x:is>
      </x:c>
      <x:c r="I40" s="9" t="inlineStr">
        <x:is>
          <x:t xml:space="preserve">contacto@xileframechiloegro.cl</x:t>
        </x:is>
      </x:c>
      <x:c r="J40" s="9" t="inlineStr">
        <x:is>
          <x:t xml:space="preserve">https://www.xileframechiloegro.cl</x:t>
        </x:is>
      </x:c>
      <x:c r="K40" s="9" t="inlineStr">
        <x:is>
          <x:t xml:space="preserve">+56 9 4727 6912</x:t>
        </x:is>
      </x:c>
      <x:c r="L40" s="9" t="inlineStr">
        <x:is>
          <x:t xml:space="preserve">+56 41 4535604</x:t>
        </x:is>
      </x:c>
      <x:c r="M40" s="9" t="inlineStr">
        <x:is>
          <x:t xml:space="preserve">Calle Parque Industrial Sur 915</x:t>
        </x:is>
      </x:c>
      <x:c r="N40" s="9" t="inlineStr">
        <x:is>
          <x:t xml:space="preserve">Puerto Montt</x:t>
        </x:is>
      </x:c>
      <x:c r="O40" s="9" t="inlineStr">
        <x:is>
          <x:t xml:space="preserve">Puerto Montt</x:t>
        </x:is>
      </x:c>
      <x:c r="P40" s="9" t="inlineStr">
        <x:is>
          <x:t xml:space="preserve">Los Lagos</x:t>
        </x:is>
      </x:c>
      <x:c r="Q40" s="11" t="n">
        <x:v>-41.50506</x:v>
      </x:c>
      <x:c r="R40" s="11" t="n">
        <x:v>-72.928066</x:v>
      </x:c>
      <x:c r="S40" s="12" t="n">
        <x:v>1200</x:v>
      </x:c>
      <x:c r="T40" s="9" t="inlineStr">
        <x:is>
          <x:t xml:space="preserve">Regional</x:t>
        </x:is>
      </x:c>
      <x:c r="U40" s="10" t="inlineStr">
        <x:is>
          <x:t xml:space="preserve">Especialista en soluciones de rápida instalación.</x:t>
        </x:is>
      </x:c>
      <x:c r="V40" s="13">
        <x:f>COUNTIF(Modelos_Casa!$B:$B,A40)</x:f>
        <x:v>5</x:v>
      </x:c>
      <x:c r="W40" s="13">
        <x:f>COUNTIF(Proyectos!$B:$B,A40)</x:f>
        <x:v>3</x:v>
      </x:c>
      <x:c r="X40" s="14">
        <x:f>SUMIF(Proyectos!$B:$B,A40,Proyectos!$H:$H)</x:f>
        <x:v>209.79999999999998</x:v>
      </x:c>
    </x:row>
    <x:row r="41" ht="18" customHeight="1">
      <x:c r="A41" s="9" t="inlineStr">
        <x:is>
          <x:t xml:space="preserve">EMP-040</x:t>
        </x:is>
      </x:c>
      <x:c r="B41" s="9" t="inlineStr">
        <x:is>
          <x:t xml:space="preserve">Habita Casa Patagonia EIRL</x:t>
        </x:is>
      </x:c>
      <x:c r="C41" s="10" t="inlineStr">
        <x:is>
          <x:t xml:space="preserve">Habita Casa Patagonia Ingeniería Habitacional EIRL</x:t>
        </x:is>
      </x:c>
      <x:c r="D41" s="9" t="inlineStr">
        <x:is>
          <x:t xml:space="preserve">76.005.554-9</x:t>
        </x:is>
      </x:c>
      <x:c r="E41" s="9" t="inlineStr">
        <x:is>
          <x:t xml:space="preserve">Sí</x:t>
        </x:is>
      </x:c>
      <x:c r="F41" s="9" t="n">
        <x:v>2016</x:v>
      </x:c>
      <x:c r="G41" s="10" t="inlineStr">
        <x:is>
          <x:t xml:space="preserve">STEEL_FRAME, SIP, MODULAR_TIMBER, HYBRID_MODULAR</x:t>
        </x:is>
      </x:c>
      <x:c r="H41" s="10" t="inlineStr">
        <x:is>
          <x:t xml:space="preserve">Control dimensional BIM en taller; ISO 45001:2018; ISO 9001:2015</x:t>
        </x:is>
      </x:c>
      <x:c r="I41" s="9" t="inlineStr">
        <x:is>
          <x:t xml:space="preserve">contacto@habitacasapatagoni.cl</x:t>
        </x:is>
      </x:c>
      <x:c r="J41" s="9" t="inlineStr">
        <x:is>
          <x:t xml:space="preserve">https://www.habitacasapatagoni.cl</x:t>
        </x:is>
      </x:c>
      <x:c r="K41" s="9" t="inlineStr">
        <x:is>
          <x:t xml:space="preserve">+56 9 5658 8690</x:t>
        </x:is>
      </x:c>
      <x:c r="L41" s="9" t="inlineStr">
        <x:is>
          <x:t xml:space="preserve">+56 55 5694920</x:t>
        </x:is>
      </x:c>
      <x:c r="M41" s="9" t="inlineStr">
        <x:is>
          <x:t xml:space="preserve">Sendero Parque Industrial Sur 170</x:t>
        </x:is>
      </x:c>
      <x:c r="N41" s="9" t="inlineStr">
        <x:is>
          <x:t xml:space="preserve">Ancud</x:t>
        </x:is>
      </x:c>
      <x:c r="O41" s="9" t="inlineStr">
        <x:is>
          <x:t xml:space="preserve">Ancud</x:t>
        </x:is>
      </x:c>
      <x:c r="P41" s="9" t="inlineStr">
        <x:is>
          <x:t xml:space="preserve">Los Lagos</x:t>
        </x:is>
      </x:c>
      <x:c r="Q41" s="11" t="n">
        <x:v>-41.904758</x:v>
      </x:c>
      <x:c r="R41" s="11" t="n">
        <x:v>-73.74904600000001</x:v>
      </x:c>
      <x:c r="S41" s="12" t="n">
        <x:v>4200</x:v>
      </x:c>
      <x:c r="T41" s="9" t="inlineStr">
        <x:is>
          <x:t xml:space="preserve">Regional</x:t>
        </x:is>
      </x:c>
      <x:c r="U41" s="10" t="inlineStr">
        <x:is>
          <x:t xml:space="preserve">Opera con fabricación en taller y montaje en sitio.</x:t>
        </x:is>
      </x:c>
      <x:c r="V41" s="13">
        <x:f>COUNTIF(Modelos_Casa!$B:$B,A41)</x:f>
        <x:v>5</x:v>
      </x:c>
      <x:c r="W41" s="13">
        <x:f>COUNTIF(Proyectos!$B:$B,A41)</x:f>
        <x:v>3</x:v>
      </x:c>
      <x:c r="X41" s="14">
        <x:f>SUMIF(Proyectos!$B:$B,A41,Proyectos!$H:$H)</x:f>
        <x:v>377.90000000000003</x:v>
      </x:c>
    </x:row>
    <x:row r="42" ht="18" customHeight="1">
      <x:c r="A42" s="9" t="inlineStr">
        <x:is>
          <x:t xml:space="preserve">EMP-041</x:t>
        </x:is>
      </x:c>
      <x:c r="B42" s="9" t="inlineStr">
        <x:is>
          <x:t xml:space="preserve">Sur Nexo Cordillera S.A.</x:t>
        </x:is>
      </x:c>
      <x:c r="C42" s="10" t="inlineStr">
        <x:is>
          <x:t xml:space="preserve">Sur Nexo Cordillera Industrial Prefabricada S.A.</x:t>
        </x:is>
      </x:c>
      <x:c r="D42" s="9" t="inlineStr">
        <x:is>
          <x:t xml:space="preserve">76.005.690-1</x:t>
        </x:is>
      </x:c>
      <x:c r="E42" s="9" t="inlineStr">
        <x:is>
          <x:t xml:space="preserve">Sí</x:t>
        </x:is>
      </x:c>
      <x:c r="F42" s="9" t="n">
        <x:v>2019</x:v>
      </x:c>
      <x:c r="G42" s="10" t="inlineStr">
        <x:is>
          <x:t xml:space="preserve">SIP, MODULAR_TIMBER, STEEL_FRAME, HYBRID_MODULAR</x:t>
        </x:is>
      </x:c>
      <x:c r="H42" s="10" t="inlineStr">
        <x:is>
          <x:t xml:space="preserve">Procedimientos de soldadura calificados; Programa interno de trazabilidad de módulos; Protocolos internos SEC para instalaciones</x:t>
        </x:is>
      </x:c>
      <x:c r="I42" s="9" t="inlineStr">
        <x:is>
          <x:t xml:space="preserve">contacto@surnexocordilleras.cl</x:t>
        </x:is>
      </x:c>
      <x:c r="J42" s="9" t="inlineStr">
        <x:is>
          <x:t xml:space="preserve">https://www.surnexocordilleras.cl</x:t>
        </x:is>
      </x:c>
      <x:c r="K42" s="9" t="inlineStr">
        <x:is>
          <x:t xml:space="preserve">+56 9 5978 2395</x:t>
        </x:is>
      </x:c>
      <x:c r="L42" s="9" t="inlineStr">
        <x:is>
          <x:t xml:space="preserve">+56 45 2993643</x:t>
        </x:is>
      </x:c>
      <x:c r="M42" s="9" t="inlineStr">
        <x:is>
          <x:t xml:space="preserve">Av. Las Lengas 731</x:t>
        </x:is>
      </x:c>
      <x:c r="N42" s="9" t="inlineStr">
        <x:is>
          <x:t xml:space="preserve">Castro</x:t>
        </x:is>
      </x:c>
      <x:c r="O42" s="9" t="inlineStr">
        <x:is>
          <x:t xml:space="preserve">Castro</x:t>
        </x:is>
      </x:c>
      <x:c r="P42" s="9" t="inlineStr">
        <x:is>
          <x:t xml:space="preserve">Los Lagos</x:t>
        </x:is>
      </x:c>
      <x:c r="Q42" s="11" t="n">
        <x:v>-42.496687</x:v>
      </x:c>
      <x:c r="R42" s="11" t="n">
        <x:v>-73.830647</x:v>
      </x:c>
      <x:c r="S42" s="12" t="n">
        <x:v>4200</x:v>
      </x:c>
      <x:c r="T42" s="9" t="inlineStr">
        <x:is>
          <x:t xml:space="preserve">Macrozona sur</x:t>
        </x:is>
      </x:c>
      <x:c r="U42" s="10" t="inlineStr">
        <x:is>
          <x:t xml:space="preserve">Oferta orientada a viviendas llave en mano y ampliaciones.</x:t>
        </x:is>
      </x:c>
      <x:c r="V42" s="13">
        <x:f>COUNTIF(Modelos_Casa!$B:$B,A42)</x:f>
        <x:v>5</x:v>
      </x:c>
      <x:c r="W42" s="13">
        <x:f>COUNTIF(Proyectos!$B:$B,A42)</x:f>
        <x:v>3</x:v>
      </x:c>
      <x:c r="X42" s="14">
        <x:f>SUMIF(Proyectos!$B:$B,A42,Proyectos!$H:$H)</x:f>
        <x:v>458.9</x:v>
      </x:c>
    </x:row>
    <x:row r="43" ht="18" customHeight="1">
      <x:c r="A43" s="9" t="inlineStr">
        <x:is>
          <x:t xml:space="preserve">EMP-042</x:t>
        </x:is>
      </x:c>
      <x:c r="B43" s="9" t="inlineStr">
        <x:is>
          <x:t xml:space="preserve">Geo Prefab Pacífico Group SpA</x:t>
        </x:is>
      </x:c>
      <x:c r="C43" s="10" t="inlineStr">
        <x:is>
          <x:t xml:space="preserve">Geo Prefab Pacífico Group Servicios Integrados SpA</x:t>
        </x:is>
      </x:c>
      <x:c r="D43" s="9" t="inlineStr">
        <x:is>
          <x:t xml:space="preserve">76.005.762-2</x:t>
        </x:is>
      </x:c>
      <x:c r="E43" s="9" t="inlineStr">
        <x:is>
          <x:t xml:space="preserve">Sí</x:t>
        </x:is>
      </x:c>
      <x:c r="F43" s="9" t="n">
        <x:v>2015</x:v>
      </x:c>
      <x:c r="G43" s="10" t="inlineStr">
        <x:is>
          <x:t xml:space="preserve">SIP, STEEL_FRAME, CONTAINER, HYBRID_MODULAR</x:t>
        </x:is>
      </x:c>
      <x:c r="H43" s="10" t="inlineStr">
        <x:is>
          <x:t xml:space="preserve">ISO 14001:2015; ISO 45001:2018; Protocolos internos SEC para instalaciones</x:t>
        </x:is>
      </x:c>
      <x:c r="I43" s="9" t="inlineStr">
        <x:is>
          <x:t xml:space="preserve">contacto@geoprefabpacificog.cl</x:t>
        </x:is>
      </x:c>
      <x:c r="J43" s="9" t="inlineStr">
        <x:is>
          <x:t xml:space="preserve">https://www.geoprefabpacificog.cl</x:t>
        </x:is>
      </x:c>
      <x:c r="K43" s="9" t="inlineStr">
        <x:is>
          <x:t xml:space="preserve">+56 9 2625 4404</x:t>
        </x:is>
      </x:c>
      <x:c r="L43" s="9" t="inlineStr">
        <x:is>
          <x:t xml:space="preserve">+56 63 3770207</x:t>
        </x:is>
      </x:c>
      <x:c r="M43" s="9" t="inlineStr">
        <x:is>
          <x:t xml:space="preserve">Calle Los Tijerales 2663</x:t>
        </x:is>
      </x:c>
      <x:c r="N43" s="9" t="inlineStr">
        <x:is>
          <x:t xml:space="preserve">Coyhaique</x:t>
        </x:is>
      </x:c>
      <x:c r="O43" s="9" t="inlineStr">
        <x:is>
          <x:t xml:space="preserve">Coyhaique</x:t>
        </x:is>
      </x:c>
      <x:c r="P43" s="9" t="inlineStr">
        <x:is>
          <x:t xml:space="preserve">Aysén</x:t>
        </x:is>
      </x:c>
      <x:c r="Q43" s="11" t="n">
        <x:v>-45.513573</x:v>
      </x:c>
      <x:c r="R43" s="11" t="n">
        <x:v>-71.989895</x:v>
      </x:c>
      <x:c r="S43" s="12" t="n">
        <x:v>1800</x:v>
      </x:c>
      <x:c r="T43" s="9" t="inlineStr">
        <x:is>
          <x:t xml:space="preserve">Nacional</x:t>
        </x:is>
      </x:c>
      <x:c r="U43" s="10" t="inlineStr">
        <x:is>
          <x:t xml:space="preserve">Opera con fabricación en taller y montaje en sitio.</x:t>
        </x:is>
      </x:c>
      <x:c r="V43" s="13">
        <x:f>COUNTIF(Modelos_Casa!$B:$B,A43)</x:f>
        <x:v>5</x:v>
      </x:c>
      <x:c r="W43" s="13">
        <x:f>COUNTIF(Proyectos!$B:$B,A43)</x:f>
        <x:v>3</x:v>
      </x:c>
      <x:c r="X43" s="14">
        <x:f>SUMIF(Proyectos!$B:$B,A43,Proyectos!$H:$H)</x:f>
        <x:v>418.2</x:v>
      </x:c>
    </x:row>
    <x:row r="44" ht="18" customHeight="1">
      <x:c r="A44" s="9" t="inlineStr">
        <x:is>
          <x:t xml:space="preserve">EMP-043</x:t>
        </x:is>
      </x:c>
      <x:c r="B44" s="9" t="inlineStr">
        <x:is>
          <x:t xml:space="preserve">Patria Modular Araucaria SpA</x:t>
        </x:is>
      </x:c>
      <x:c r="C44" s="10" t="inlineStr">
        <x:is>
          <x:t xml:space="preserve">Patria Modular Araucaria Servicios Integrados SpA</x:t>
        </x:is>
      </x:c>
      <x:c r="D44" s="9" t="inlineStr">
        <x:is>
          <x:t xml:space="preserve">76.005.921-8</x:t>
        </x:is>
      </x:c>
      <x:c r="E44" s="9" t="inlineStr">
        <x:is>
          <x:t xml:space="preserve">Sí</x:t>
        </x:is>
      </x:c>
      <x:c r="F44" s="9" t="n">
        <x:v>2012</x:v>
      </x:c>
      <x:c r="G44" s="10" t="inlineStr">
        <x:is>
          <x:t xml:space="preserve">MODULAR_TIMBER, SIP, HYBRID_MODULAR, STEEL_FRAME</x:t>
        </x:is>
      </x:c>
      <x:c r="H44" s="10" t="inlineStr">
        <x:is>
          <x:t xml:space="preserve">Control dimensional BIM en taller; Programa interno de trazabilidad de módulos; Protocolos internos SEC para instalaciones</x:t>
        </x:is>
      </x:c>
      <x:c r="I44" s="9" t="inlineStr">
        <x:is>
          <x:t xml:space="preserve">contacto@patriamodulararauc.cl</x:t>
        </x:is>
      </x:c>
      <x:c r="J44" s="9" t="inlineStr">
        <x:is>
          <x:t xml:space="preserve">https://www.patriamodulararauc.cl</x:t>
        </x:is>
      </x:c>
      <x:c r="K44" s="9" t="inlineStr">
        <x:is>
          <x:t xml:space="preserve">+56 9 5720 5632</x:t>
        </x:is>
      </x:c>
      <x:c r="L44" s="9" t="inlineStr">
        <x:is>
          <x:t xml:space="preserve">+56 64 5808690</x:t>
        </x:is>
      </x:c>
      <x:c r="M44" s="9" t="inlineStr">
        <x:is>
          <x:t xml:space="preserve">Sendero Nueva Esperanza 253</x:t>
        </x:is>
      </x:c>
      <x:c r="N44" s="9" t="inlineStr">
        <x:is>
          <x:t xml:space="preserve">Puerto Aysén</x:t>
        </x:is>
      </x:c>
      <x:c r="O44" s="9" t="inlineStr">
        <x:is>
          <x:t xml:space="preserve">Puerto Aysén</x:t>
        </x:is>
      </x:c>
      <x:c r="P44" s="9" t="inlineStr">
        <x:is>
          <x:t xml:space="preserve">Aysén</x:t>
        </x:is>
      </x:c>
      <x:c r="Q44" s="11" t="n">
        <x:v>-45.457855</x:v>
      </x:c>
      <x:c r="R44" s="11" t="n">
        <x:v>-72.714337</x:v>
      </x:c>
      <x:c r="S44" s="12" t="n">
        <x:v>3600</x:v>
      </x:c>
      <x:c r="T44" s="9" t="inlineStr">
        <x:is>
          <x:t xml:space="preserve">Regional</x:t>
        </x:is>
      </x:c>
      <x:c r="U44" s="10" t="inlineStr">
        <x:is>
          <x:t xml:space="preserve">Especialista en soluciones de rápida instalación.</x:t>
        </x:is>
      </x:c>
      <x:c r="V44" s="13">
        <x:f>COUNTIF(Modelos_Casa!$B:$B,A44)</x:f>
        <x:v>5</x:v>
      </x:c>
      <x:c r="W44" s="13">
        <x:f>COUNTIF(Proyectos!$B:$B,A44)</x:f>
        <x:v>3</x:v>
      </x:c>
      <x:c r="X44" s="14">
        <x:f>SUMIF(Proyectos!$B:$B,A44,Proyectos!$H:$H)</x:f>
        <x:v>248.5</x:v>
      </x:c>
    </x:row>
    <x:row r="45" ht="18" customHeight="1">
      <x:c r="A45" s="9" t="inlineStr">
        <x:is>
          <x:t xml:space="preserve">EMP-044</x:t>
        </x:is>
      </x:c>
      <x:c r="B45" s="9" t="inlineStr">
        <x:is>
          <x:t xml:space="preserve">Cumbre Prefab Arrayán Ltda.</x:t>
        </x:is>
      </x:c>
      <x:c r="C45" s="10" t="inlineStr">
        <x:is>
          <x:t xml:space="preserve">Cumbre Prefab Arrayán Soluciones Habitacionales Ltda.</x:t>
        </x:is>
      </x:c>
      <x:c r="D45" s="9" t="inlineStr">
        <x:is>
          <x:t xml:space="preserve">76.006.036-4</x:t>
        </x:is>
      </x:c>
      <x:c r="E45" s="9" t="inlineStr">
        <x:is>
          <x:t xml:space="preserve">Sí</x:t>
        </x:is>
      </x:c>
      <x:c r="F45" s="9" t="n">
        <x:v>2024</x:v>
      </x:c>
      <x:c r="G45" s="10" t="inlineStr">
        <x:is>
          <x:t xml:space="preserve">CONTAINER, HYBRID_MODULAR, SIP, STEEL_FRAME</x:t>
        </x:is>
      </x:c>
      <x:c r="H45" s="10" t="inlineStr">
        <x:is>
          <x:t xml:space="preserve">Control dimensional BIM en taller; Ensayos referenciales de panel SIP NCh3393; Programa interno de trazabilidad de módulos</x:t>
        </x:is>
      </x:c>
      <x:c r="I45" s="9" t="inlineStr">
        <x:is>
          <x:t xml:space="preserve">contacto@cumbreprefabarraya.cl</x:t>
        </x:is>
      </x:c>
      <x:c r="J45" s="9" t="inlineStr">
        <x:is>
          <x:t xml:space="preserve">https://www.cumbreprefabarraya.cl</x:t>
        </x:is>
      </x:c>
      <x:c r="K45" s="9" t="inlineStr">
        <x:is>
          <x:t xml:space="preserve">+56 9 3718 6039</x:t>
        </x:is>
      </x:c>
      <x:c r="L45" s="9" t="inlineStr">
        <x:is>
          <x:t xml:space="preserve">+56 61 8282712</x:t>
        </x:is>
      </x:c>
      <x:c r="M45" s="9" t="inlineStr">
        <x:is>
          <x:t xml:space="preserve">Calle Las Lengas 412</x:t>
        </x:is>
      </x:c>
      <x:c r="N45" s="9" t="inlineStr">
        <x:is>
          <x:t xml:space="preserve">Punta Arenas</x:t>
        </x:is>
      </x:c>
      <x:c r="O45" s="9" t="inlineStr">
        <x:is>
          <x:t xml:space="preserve">Punta Arenas</x:t>
        </x:is>
      </x:c>
      <x:c r="P45" s="9" t="inlineStr">
        <x:is>
          <x:t xml:space="preserve">Magallanes y de la Antártica Chilena</x:t>
        </x:is>
      </x:c>
      <x:c r="Q45" s="11" t="n">
        <x:v>-53.20783</x:v>
      </x:c>
      <x:c r="R45" s="11" t="n">
        <x:v>-70.97326200000001</x:v>
      </x:c>
      <x:c r="S45" s="12" t="n">
        <x:v>1500</x:v>
      </x:c>
      <x:c r="T45" s="9" t="inlineStr">
        <x:is>
          <x:t xml:space="preserve">Macrozona sur</x:t>
        </x:is>
      </x:c>
      <x:c r="U45" s="10" t="inlineStr">
        <x:is>
          <x:t xml:space="preserve">Oferta orientada a viviendas llave en mano y ampliaciones.</x:t>
        </x:is>
      </x:c>
      <x:c r="V45" s="13">
        <x:f>COUNTIF(Modelos_Casa!$B:$B,A45)</x:f>
        <x:v>5</x:v>
      </x:c>
      <x:c r="W45" s="13">
        <x:f>COUNTIF(Proyectos!$B:$B,A45)</x:f>
        <x:v>3</x:v>
      </x:c>
      <x:c r="X45" s="14">
        <x:f>SUMIF(Proyectos!$B:$B,A45,Proyectos!$H:$H)</x:f>
        <x:v>396.5</x:v>
      </x:c>
    </x:row>
    <x:row r="46" ht="18" customHeight="1">
      <x:c r="A46" s="9" t="inlineStr">
        <x:is>
          <x:t xml:space="preserve">EMP-045</x:t>
        </x:is>
      </x:c>
      <x:c r="B46" s="9" t="inlineStr">
        <x:is>
          <x:t xml:space="preserve">Zenit Nexo Notro Group SpA</x:t>
        </x:is>
      </x:c>
      <x:c r="C46" s="10" t="inlineStr">
        <x:is>
          <x:t xml:space="preserve">Zenit Nexo Notro Group Servicios Integrados SpA</x:t>
        </x:is>
      </x:c>
      <x:c r="D46" s="9" t="inlineStr">
        <x:is>
          <x:t xml:space="preserve">76.006.242-1</x:t>
        </x:is>
      </x:c>
      <x:c r="E46" s="9" t="inlineStr">
        <x:is>
          <x:t xml:space="preserve">Sí</x:t>
        </x:is>
      </x:c>
      <x:c r="F46" s="9" t="n">
        <x:v>2020</x:v>
      </x:c>
      <x:c r="G46" s="10" t="inlineStr">
        <x:is>
          <x:t xml:space="preserve">STEEL_FRAME, SIP, MODULAR_TIMBER, HYBRID_MODULAR</x:t>
        </x:is>
      </x:c>
      <x:c r="H46" s="10" t="inlineStr">
        <x:is>
          <x:t xml:space="preserve">Control dimensional BIM en taller; ISO 14001:2015; ISO 9001:2015</x:t>
        </x:is>
      </x:c>
      <x:c r="I46" s="9" t="inlineStr">
        <x:is>
          <x:t xml:space="preserve">contacto@zenitnexonotrogrou.cl</x:t>
        </x:is>
      </x:c>
      <x:c r="J46" s="9" t="inlineStr">
        <x:is>
          <x:t xml:space="preserve">https://www.zenitnexonotrogrou.cl</x:t>
        </x:is>
      </x:c>
      <x:c r="K46" s="9" t="inlineStr">
        <x:is>
          <x:t xml:space="preserve">+56 9 1653 8078</x:t>
        </x:is>
      </x:c>
      <x:c r="L46" s="9" t="inlineStr">
        <x:is>
          <x:t xml:space="preserve">+56 64 4703829</x:t>
        </x:is>
      </x:c>
      <x:c r="M46" s="9" t="inlineStr">
        <x:is>
          <x:t xml:space="preserve">Sendero Río Claro 449</x:t>
        </x:is>
      </x:c>
      <x:c r="N46" s="9" t="inlineStr">
        <x:is>
          <x:t xml:space="preserve">Puerto Natales</x:t>
        </x:is>
      </x:c>
      <x:c r="O46" s="9" t="inlineStr">
        <x:is>
          <x:t xml:space="preserve">Puerto Natales</x:t>
        </x:is>
      </x:c>
      <x:c r="P46" s="9" t="inlineStr">
        <x:is>
          <x:t xml:space="preserve">Magallanes y de la Antártica Chilena</x:t>
        </x:is>
      </x:c>
      <x:c r="Q46" s="11" t="n">
        <x:v>-51.699843</x:v>
      </x:c>
      <x:c r="R46" s="11" t="n">
        <x:v>-72.43557199999999</x:v>
      </x:c>
      <x:c r="S46" s="12" t="n">
        <x:v>2200</x:v>
      </x:c>
      <x:c r="T46" s="9" t="inlineStr">
        <x:is>
          <x:t xml:space="preserve">Centro-sur</x:t>
        </x:is>
      </x:c>
      <x:c r="U46" s="10" t="inlineStr">
        <x:is>
          <x:t xml:space="preserve">Especialista en soluciones de rápida instalación.</x:t>
        </x:is>
      </x:c>
      <x:c r="V46" s="13">
        <x:f>COUNTIF(Modelos_Casa!$B:$B,A46)</x:f>
        <x:v>5</x:v>
      </x:c>
      <x:c r="W46" s="13">
        <x:f>COUNTIF(Proyectos!$B:$B,A46)</x:f>
        <x:v>3</x:v>
      </x:c>
      <x:c r="X46" s="14">
        <x:f>SUMIF(Proyectos!$B:$B,A46,Proyectos!$H:$H)</x:f>
        <x:v>399.6</x:v>
      </x:c>
    </x:row>
    <x:row r="47" ht="18" customHeight="1">
      <x:c r="A47" s="9" t="inlineStr">
        <x:is>
          <x:t xml:space="preserve">EMP-046</x:t>
        </x:is>
      </x:c>
      <x:c r="B47" s="9" t="inlineStr">
        <x:is>
          <x:t xml:space="preserve">Bosque Nexo Volcán EIRL</x:t>
        </x:is>
      </x:c>
      <x:c r="C47" s="10" t="inlineStr">
        <x:is>
          <x:t xml:space="preserve">Bosque Nexo Volcán Ingeniería Habitacional EIRL</x:t>
        </x:is>
      </x:c>
      <x:c r="D47" s="9" t="inlineStr">
        <x:is>
          <x:t xml:space="preserve">76.006.325-8</x:t>
        </x:is>
      </x:c>
      <x:c r="E47" s="9" t="inlineStr">
        <x:is>
          <x:t xml:space="preserve">Sí</x:t>
        </x:is>
      </x:c>
      <x:c r="F47" s="9" t="n">
        <x:v>2015</x:v>
      </x:c>
      <x:c r="G47" s="10" t="inlineStr">
        <x:is>
          <x:t xml:space="preserve">SIP, MODULAR_TIMBER, STEEL_FRAME, HYBRID_MODULAR</x:t>
        </x:is>
      </x:c>
      <x:c r="H47" s="10" t="inlineStr">
        <x:is>
          <x:t xml:space="preserve">Ensayos referenciales de panel SIP NCh3393; ISO 45001:2018; Procedimientos de soldadura calificados</x:t>
        </x:is>
      </x:c>
      <x:c r="I47" s="9" t="inlineStr">
        <x:is>
          <x:t xml:space="preserve">contacto@bosquenexovolcanei.cl</x:t>
        </x:is>
      </x:c>
      <x:c r="J47" s="9" t="inlineStr">
        <x:is>
          <x:t xml:space="preserve">https://www.bosquenexovolcanei.cl</x:t>
        </x:is>
      </x:c>
      <x:c r="K47" s="9" t="inlineStr">
        <x:is>
          <x:t xml:space="preserve">+56 9 8708 9502</x:t>
        </x:is>
      </x:c>
      <x:c r="L47" s="9" t="inlineStr">
        <x:is>
          <x:t xml:space="preserve">+56 63 5709689</x:t>
        </x:is>
      </x:c>
      <x:c r="M47" s="9" t="inlineStr">
        <x:is>
          <x:t xml:space="preserve">Calle Los Tijerales 284</x:t>
        </x:is>
      </x:c>
      <x:c r="N47" s="9" t="inlineStr">
        <x:is>
          <x:t xml:space="preserve">Puerto Varas</x:t>
        </x:is>
      </x:c>
      <x:c r="O47" s="9" t="inlineStr">
        <x:is>
          <x:t xml:space="preserve">Puerto Varas</x:t>
        </x:is>
      </x:c>
      <x:c r="P47" s="9" t="inlineStr">
        <x:is>
          <x:t xml:space="preserve">Los Lagos</x:t>
        </x:is>
      </x:c>
      <x:c r="Q47" s="11" t="n">
        <x:v>-41.244874</x:v>
      </x:c>
      <x:c r="R47" s="11" t="n">
        <x:v>-72.905968</x:v>
      </x:c>
      <x:c r="S47" s="12" t="n">
        <x:v>1500</x:v>
      </x:c>
      <x:c r="T47" s="9" t="inlineStr">
        <x:is>
          <x:t xml:space="preserve">Macrozona sur</x:t>
        </x:is>
      </x:c>
      <x:c r="U47" s="10" t="inlineStr">
        <x:is>
          <x:t xml:space="preserve">Oferta orientada a viviendas llave en mano y ampliaciones.</x:t>
        </x:is>
      </x:c>
      <x:c r="V47" s="13">
        <x:f>COUNTIF(Modelos_Casa!$B:$B,A47)</x:f>
        <x:v>5</x:v>
      </x:c>
      <x:c r="W47" s="13">
        <x:f>COUNTIF(Proyectos!$B:$B,A47)</x:f>
        <x:v>3</x:v>
      </x:c>
      <x:c r="X47" s="14">
        <x:f>SUMIF(Proyectos!$B:$B,A47,Proyectos!$H:$H)</x:f>
        <x:v>291.2</x:v>
      </x:c>
    </x:row>
    <x:row r="48" ht="18" customHeight="1">
      <x:c r="A48" s="9" t="inlineStr">
        <x:is>
          <x:t xml:space="preserve">EMP-047</x:t>
        </x:is>
      </x:c>
      <x:c r="B48" s="9" t="inlineStr">
        <x:is>
          <x:t xml:space="preserve">Terra Módulo Fiordo Group SpA</x:t>
        </x:is>
      </x:c>
      <x:c r="C48" s="10" t="inlineStr">
        <x:is>
          <x:t xml:space="preserve">Terra Módulo Fiordo Group Servicios Integrados SpA</x:t>
        </x:is>
      </x:c>
      <x:c r="D48" s="9" t="inlineStr">
        <x:is>
          <x:t xml:space="preserve">76.006.528-5</x:t>
        </x:is>
      </x:c>
      <x:c r="E48" s="9" t="inlineStr">
        <x:is>
          <x:t xml:space="preserve">Sí</x:t>
        </x:is>
      </x:c>
      <x:c r="F48" s="9" t="n">
        <x:v>2024</x:v>
      </x:c>
      <x:c r="G48" s="10" t="inlineStr">
        <x:is>
          <x:t xml:space="preserve">SIP, STEEL_FRAME, CONTAINER, HYBRID_MODULAR</x:t>
        </x:is>
      </x:c>
      <x:c r="H48" s="10" t="inlineStr">
        <x:is>
          <x:t xml:space="preserve">Ensayos referenciales de panel SIP NCh3393; ISO 9001:2015; Plan de gestión de residuos de obra</x:t>
        </x:is>
      </x:c>
      <x:c r="I48" s="9" t="inlineStr">
        <x:is>
          <x:t xml:space="preserve">contacto@terramodulofiordog.cl</x:t>
        </x:is>
      </x:c>
      <x:c r="J48" s="9" t="inlineStr">
        <x:is>
          <x:t xml:space="preserve">https://www.terramodulofiordog.cl</x:t>
        </x:is>
      </x:c>
      <x:c r="K48" s="9" t="inlineStr">
        <x:is>
          <x:t xml:space="preserve">+56 9 9117 5722</x:t>
        </x:is>
      </x:c>
      <x:c r="L48" s="9" t="inlineStr">
        <x:is>
          <x:t xml:space="preserve">+56 63 5359236</x:t>
        </x:is>
      </x:c>
      <x:c r="M48" s="9" t="inlineStr">
        <x:is>
          <x:t xml:space="preserve">Pasaje Los Volcanes 1806</x:t>
        </x:is>
      </x:c>
      <x:c r="N48" s="9" t="inlineStr">
        <x:is>
          <x:t xml:space="preserve">Los Ángeles</x:t>
        </x:is>
      </x:c>
      <x:c r="O48" s="9" t="inlineStr">
        <x:is>
          <x:t xml:space="preserve">Los Ángeles</x:t>
        </x:is>
      </x:c>
      <x:c r="P48" s="9" t="inlineStr">
        <x:is>
          <x:t xml:space="preserve">Biobío</x:t>
        </x:is>
      </x:c>
      <x:c r="Q48" s="11" t="n">
        <x:v>-37.496371</x:v>
      </x:c>
      <x:c r="R48" s="11" t="n">
        <x:v>-72.32647900000001</x:v>
      </x:c>
      <x:c r="S48" s="12" t="n">
        <x:v>1500</x:v>
      </x:c>
      <x:c r="T48" s="9" t="inlineStr">
        <x:is>
          <x:t xml:space="preserve">Macrozona centro</x:t>
        </x:is>
      </x:c>
      <x:c r="U48" s="10" t="inlineStr">
        <x:is>
          <x:t xml:space="preserve">Oferta orientada a viviendas llave en mano y ampliaciones.</x:t>
        </x:is>
      </x:c>
      <x:c r="V48" s="13">
        <x:f>COUNTIF(Modelos_Casa!$B:$B,A48)</x:f>
        <x:v>5</x:v>
      </x:c>
      <x:c r="W48" s="13">
        <x:f>COUNTIF(Proyectos!$B:$B,A48)</x:f>
        <x:v>3</x:v>
      </x:c>
      <x:c r="X48" s="14">
        <x:f>SUMIF(Proyectos!$B:$B,A48,Proyectos!$H:$H)</x:f>
        <x:v>377.1</x:v>
      </x:c>
    </x:row>
    <x:row r="49" ht="18" customHeight="1">
      <x:c r="A49" s="9" t="inlineStr">
        <x:is>
          <x:t xml:space="preserve">EMP-048</x:t>
        </x:is>
      </x:c>
      <x:c r="B49" s="9" t="inlineStr">
        <x:is>
          <x:t xml:space="preserve">Habita Frame Trumao SpA</x:t>
        </x:is>
      </x:c>
      <x:c r="C49" s="10" t="inlineStr">
        <x:is>
          <x:t xml:space="preserve">Habita Frame Trumao Servicios Integrados SpA</x:t>
        </x:is>
      </x:c>
      <x:c r="D49" s="9" t="inlineStr">
        <x:is>
          <x:t xml:space="preserve">76.006.636-2</x:t>
        </x:is>
      </x:c>
      <x:c r="E49" s="9" t="inlineStr">
        <x:is>
          <x:t xml:space="preserve">Sí</x:t>
        </x:is>
      </x:c>
      <x:c r="F49" s="9" t="n">
        <x:v>2016</x:v>
      </x:c>
      <x:c r="G49" s="10" t="inlineStr">
        <x:is>
          <x:t xml:space="preserve">MODULAR_TIMBER, SIP, HYBRID_MODULAR, STEEL_FRAME</x:t>
        </x:is>
      </x:c>
      <x:c r="H49" s="10" t="inlineStr">
        <x:is>
          <x:t xml:space="preserve">Ensayos referenciales de panel SIP NCh3393; Plan de gestión de residuos de obra; Programa interno de trazabilidad de módulos</x:t>
        </x:is>
      </x:c>
      <x:c r="I49" s="9" t="inlineStr">
        <x:is>
          <x:t xml:space="preserve">contacto@habitaframetrumaos.cl</x:t>
        </x:is>
      </x:c>
      <x:c r="J49" s="9" t="inlineStr">
        <x:is>
          <x:t xml:space="preserve">https://www.habitaframetrumaos.cl</x:t>
        </x:is>
      </x:c>
      <x:c r="K49" s="9" t="inlineStr">
        <x:is>
          <x:t xml:space="preserve">+56 9 7770 1888</x:t>
        </x:is>
      </x:c>
      <x:c r="L49" s="9" t="inlineStr">
        <x:is>
          <x:t xml:space="preserve">+56 45 6348984</x:t>
        </x:is>
      </x:c>
      <x:c r="M49" s="9" t="inlineStr">
        <x:is>
          <x:t xml:space="preserve">Av. Las Quemas 2342</x:t>
        </x:is>
      </x:c>
      <x:c r="N49" s="9" t="inlineStr">
        <x:is>
          <x:t xml:space="preserve">Machalí</x:t>
        </x:is>
      </x:c>
      <x:c r="O49" s="9" t="inlineStr">
        <x:is>
          <x:t xml:space="preserve">Rancagua</x:t>
        </x:is>
      </x:c>
      <x:c r="P49" s="9" t="inlineStr">
        <x:is>
          <x:t xml:space="preserve">O'Higgins</x:t>
        </x:is>
      </x:c>
      <x:c r="Q49" s="11" t="n">
        <x:v>-34.241453</x:v>
      </x:c>
      <x:c r="R49" s="11" t="n">
        <x:v>-70.608692</x:v>
      </x:c>
      <x:c r="S49" s="12" t="n">
        <x:v>1200</x:v>
      </x:c>
      <x:c r="T49" s="9" t="inlineStr">
        <x:is>
          <x:t xml:space="preserve">Macrozona norte</x:t>
        </x:is>
      </x:c>
      <x:c r="U49" s="10" t="inlineStr">
        <x:is>
          <x:t xml:space="preserve">Oferta orientada a viviendas llave en mano y ampliaciones.</x:t>
        </x:is>
      </x:c>
      <x:c r="V49" s="13">
        <x:f>COUNTIF(Modelos_Casa!$B:$B,A49)</x:f>
        <x:v>5</x:v>
      </x:c>
      <x:c r="W49" s="13">
        <x:f>COUNTIF(Proyectos!$B:$B,A49)</x:f>
        <x:v>3</x:v>
      </x:c>
      <x:c r="X49" s="14">
        <x:f>SUMIF(Proyectos!$B:$B,A49,Proyectos!$H:$H)</x:f>
        <x:v>374.2</x:v>
      </x:c>
    </x:row>
    <x:row r="50" ht="18" customHeight="1">
      <x:c r="A50" s="9" t="inlineStr">
        <x:is>
          <x:t xml:space="preserve">EMP-049</x:t>
        </x:is>
      </x:c>
      <x:c r="B50" s="9" t="inlineStr">
        <x:is>
          <x:t xml:space="preserve">Vértice Modular Koyam Group SpA</x:t>
        </x:is>
      </x:c>
      <x:c r="C50" s="10" t="inlineStr">
        <x:is>
          <x:t xml:space="preserve">Vértice Modular Koyam Group Servicios Integrados SpA</x:t>
        </x:is>
      </x:c>
      <x:c r="D50" s="9" t="inlineStr">
        <x:is>
          <x:t xml:space="preserve">76.006.794-6</x:t>
        </x:is>
      </x:c>
      <x:c r="E50" s="9" t="inlineStr">
        <x:is>
          <x:t xml:space="preserve">Sí</x:t>
        </x:is>
      </x:c>
      <x:c r="F50" s="9" t="n">
        <x:v>2011</x:v>
      </x:c>
      <x:c r="G50" s="10" t="inlineStr">
        <x:is>
          <x:t xml:space="preserve">CONTAINER, HYBRID_MODULAR, SIP, STEEL_FRAME</x:t>
        </x:is>
      </x:c>
      <x:c r="H50" s="10" t="inlineStr">
        <x:is>
          <x:t xml:space="preserve">ISO 14001:2015; Plan de gestión de residuos de obra; Procedimientos de soldadura calificados</x:t>
        </x:is>
      </x:c>
      <x:c r="I50" s="9" t="inlineStr">
        <x:is>
          <x:t xml:space="preserve">contacto@verticemodularkoya.cl</x:t>
        </x:is>
      </x:c>
      <x:c r="J50" s="9" t="inlineStr">
        <x:is>
          <x:t xml:space="preserve">https://www.verticemodularkoya.cl</x:t>
        </x:is>
      </x:c>
      <x:c r="K50" s="9" t="inlineStr">
        <x:is>
          <x:t xml:space="preserve">+56 9 4920 3594</x:t>
        </x:is>
      </x:c>
      <x:c r="L50" s="9" t="inlineStr">
        <x:is>
          <x:t xml:space="preserve">+56 51 6620772</x:t>
        </x:is>
      </x:c>
      <x:c r="M50" s="9" t="inlineStr">
        <x:is>
          <x:t xml:space="preserve">Sendero Parque Industrial Sur 238</x:t>
        </x:is>
      </x:c>
      <x:c r="N50" s="9" t="inlineStr">
        <x:is>
          <x:t xml:space="preserve">La Unión</x:t>
        </x:is>
      </x:c>
      <x:c r="O50" s="9" t="inlineStr">
        <x:is>
          <x:t xml:space="preserve">La Unión</x:t>
        </x:is>
      </x:c>
      <x:c r="P50" s="9" t="inlineStr">
        <x:is>
          <x:t xml:space="preserve">Los Ríos</x:t>
        </x:is>
      </x:c>
      <x:c r="Q50" s="11" t="n">
        <x:v>-40.353038</x:v>
      </x:c>
      <x:c r="R50" s="11" t="n">
        <x:v>-73.116815</x:v>
      </x:c>
      <x:c r="S50" s="12" t="n">
        <x:v>2200</x:v>
      </x:c>
      <x:c r="T50" s="9" t="inlineStr">
        <x:is>
          <x:t xml:space="preserve">Sur austral</x:t>
        </x:is>
      </x:c>
      <x:c r="U50" s="10" t="inlineStr">
        <x:is>
          <x:t xml:space="preserve">Opera con fabricación en taller y montaje en sitio.</x:t>
        </x:is>
      </x:c>
      <x:c r="V50" s="13">
        <x:f>COUNTIF(Modelos_Casa!$B:$B,A50)</x:f>
        <x:v>5</x:v>
      </x:c>
      <x:c r="W50" s="13">
        <x:f>COUNTIF(Proyectos!$B:$B,A50)</x:f>
        <x:v>3</x:v>
      </x:c>
      <x:c r="X50" s="14">
        <x:f>SUMIF(Proyectos!$B:$B,A50,Proyectos!$H:$H)</x:f>
        <x:v>401.5</x:v>
      </x:c>
    </x:row>
    <x:row r="51" ht="18" customHeight="1">
      <x:c r="A51" s="9" t="inlineStr">
        <x:is>
          <x:t xml:space="preserve">EMP-050</x:t>
        </x:is>
      </x:c>
      <x:c r="B51" s="9" t="inlineStr">
        <x:is>
          <x:t xml:space="preserve">Yelcho Construct Ñire S.A.</x:t>
        </x:is>
      </x:c>
      <x:c r="C51" s="10" t="inlineStr">
        <x:is>
          <x:t xml:space="preserve">Yelcho Construct Ñire Industrial Prefabricada S.A.</x:t>
        </x:is>
      </x:c>
      <x:c r="D51" s="9" t="inlineStr">
        <x:is>
          <x:t xml:space="preserve">76.006.916-7</x:t>
        </x:is>
      </x:c>
      <x:c r="E51" s="9" t="inlineStr">
        <x:is>
          <x:t xml:space="preserve">Sí</x:t>
        </x:is>
      </x:c>
      <x:c r="F51" s="9" t="n">
        <x:v>2018</x:v>
      </x:c>
      <x:c r="G51" s="10" t="inlineStr">
        <x:is>
          <x:t xml:space="preserve">STEEL_FRAME, SIP, MODULAR_TIMBER, HYBRID_MODULAR</x:t>
        </x:is>
      </x:c>
      <x:c r="H51" s="10" t="inlineStr">
        <x:is>
          <x:t xml:space="preserve">Ensayos referenciales de panel SIP NCh3393; ISO 45001:2018; Protocolos internos SEC para instalaciones</x:t>
        </x:is>
      </x:c>
      <x:c r="I51" s="9" t="inlineStr">
        <x:is>
          <x:t xml:space="preserve">contacto@yelchoconstructnir.cl</x:t>
        </x:is>
      </x:c>
      <x:c r="J51" s="9" t="inlineStr">
        <x:is>
          <x:t xml:space="preserve">https://www.yelchoconstructnir.cl</x:t>
        </x:is>
      </x:c>
      <x:c r="K51" s="9" t="inlineStr">
        <x:is>
          <x:t xml:space="preserve">+56 9 5479 7807</x:t>
        </x:is>
      </x:c>
      <x:c r="L51" s="9" t="inlineStr">
        <x:is>
          <x:t xml:space="preserve">+56 67 6047499</x:t>
        </x:is>
      </x:c>
      <x:c r="M51" s="9" t="inlineStr">
        <x:is>
          <x:t xml:space="preserve">Pasaje Ruta Modular 1315</x:t>
        </x:is>
      </x:c>
      <x:c r="N51" s="9" t="inlineStr">
        <x:is>
          <x:t xml:space="preserve">Talcahuano</x:t>
        </x:is>
      </x:c>
      <x:c r="O51" s="9" t="inlineStr">
        <x:is>
          <x:t xml:space="preserve">Concepción</x:t>
        </x:is>
      </x:c>
      <x:c r="P51" s="9" t="inlineStr">
        <x:is>
          <x:t xml:space="preserve">Biobío</x:t>
        </x:is>
      </x:c>
      <x:c r="Q51" s="11" t="n">
        <x:v>-36.65247</x:v>
      </x:c>
      <x:c r="R51" s="11" t="n">
        <x:v>-73.093166</x:v>
      </x:c>
      <x:c r="S51" s="12" t="n">
        <x:v>3600</x:v>
      </x:c>
      <x:c r="T51" s="9" t="inlineStr">
        <x:is>
          <x:t xml:space="preserve">Macrozona norte</x:t>
        </x:is>
      </x:c>
      <x:c r="U51" s="10" t="inlineStr">
        <x:is>
          <x:t xml:space="preserve">Especialista en soluciones de rápida instalación.</x:t>
        </x:is>
      </x:c>
      <x:c r="V51" s="13">
        <x:f>COUNTIF(Modelos_Casa!$B:$B,A51)</x:f>
        <x:v>5</x:v>
      </x:c>
      <x:c r="W51" s="13">
        <x:f>COUNTIF(Proyectos!$B:$B,A51)</x:f>
        <x:v>3</x:v>
      </x:c>
      <x:c r="X51" s="14">
        <x:f>SUMIF(Proyectos!$B:$B,A51,Proyectos!$H:$H)</x:f>
        <x:v>418.79999999999995</x:v>
      </x:c>
    </x:row>
  </x:sheetData>
  <x:pageMargins left="0.7" right="0.7" top="0.75" bottom="0.75" header="0.3" footer="0.3"/>
  <x:tableParts count="1">
    <x:tablePart xmlns:r="http://schemas.openxmlformats.org/officeDocument/2006/relationships" r:id="R70a66f18cf3d48db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2" customWidth="1"/>
    <x:col min="4" max="4" width="23" customWidth="1"/>
    <x:col min="5" max="5" width="15" customWidth="1"/>
    <x:col min="6" max="6" width="18" customWidth="1"/>
    <x:col min="7" max="7" width="22" customWidth="1"/>
    <x:col min="8" max="8" width="15" customWidth="1"/>
    <x:col min="9" max="9" width="13" customWidth="1"/>
    <x:col min="10" max="10" width="12" customWidth="1"/>
    <x:col min="11" max="11" width="12" customWidth="1"/>
    <x:col min="12" max="12" width="19" customWidth="1"/>
    <x:col min="13" max="13" width="19" customWidth="1"/>
    <x:col min="14" max="14" width="38" customWidth="1"/>
    <x:col min="15" max="15" width="38" customWidth="1"/>
    <x:col min="16" max="16" width="17" customWidth="1"/>
    <x:col min="17" max="17" width="38" customWidth="1"/>
    <x:col min="18" max="18" width="27" customWidth="1"/>
    <x:col min="19" max="19" width="38" customWidth="1"/>
    <x:col min="20" max="20" width="21" customWidth="1"/>
    <x:col min="21" max="21" width="38" customWidth="1"/>
    <x:col min="22" max="22" width="38" customWidth="1"/>
    <x:col min="23" max="23" width="38" customWidth="1"/>
    <x:col min="24" max="24" width="25" customWidth="1"/>
    <x:col min="25" max="25" width="31" customWidth="1"/>
    <x:col min="26" max="26" width="33" customWidth="1"/>
    <x:col min="27" max="27" width="29" customWidth="1"/>
    <x:col min="28" max="28" width="28" customWidth="1"/>
    <x:col min="29" max="29" width="21" customWidth="1"/>
    <x:col min="30" max="30" width="20" customWidth="1"/>
    <x:col min="31" max="31" width="30" customWidth="1"/>
    <x:col min="32" max="32" width="38" customWidth="1"/>
    <x:col min="33" max="33" width="38" customWidth="1"/>
    <x:col min="34" max="34" width="38" customWidth="1"/>
  </x:cols>
  <x:sheetData>
    <x:row r="1">
      <x:c r="A1" s="7" t="inlineStr">
        <x:is>
          <x:t xml:space="preserve">modelo_id</x:t>
        </x:is>
      </x:c>
      <x:c r="B1" s="7" t="inlineStr">
        <x:is>
          <x:t xml:space="preserve">empresa_id</x:t>
        </x:is>
      </x:c>
      <x:c r="C1" s="7" t="inlineStr">
        <x:is>
          <x:t xml:space="preserve">nombre_modelo</x:t>
        </x:is>
      </x:c>
      <x:c r="D1" s="7" t="inlineStr">
        <x:is>
          <x:t xml:space="preserve">referencia_toponimica</x:t>
        </x:is>
      </x:c>
      <x:c r="E1" s="7" t="inlineStr">
        <x:is>
          <x:t xml:space="preserve">tipo_toponimo</x:t>
        </x:is>
      </x:c>
      <x:c r="F1" s="7" t="inlineStr">
        <x:is>
          <x:t xml:space="preserve">empresa_ficticia</x:t>
        </x:is>
      </x:c>
      <x:c r="G1" s="7" t="inlineStr">
        <x:is>
          <x:t xml:space="preserve">sistema_constructivo</x:t>
        </x:is>
      </x:c>
      <x:c r="H1" s="7" t="inlineStr">
        <x:is>
          <x:t xml:space="preserve">superficie_m2</x:t>
        </x:is>
      </x:c>
      <x:c r="I1" s="7" t="inlineStr">
        <x:is>
          <x:t xml:space="preserve">dormitorios</x:t>
        </x:is>
      </x:c>
      <x:c r="J1" s="7" t="inlineStr">
        <x:is>
          <x:t xml:space="preserve">banos</x:t>
        </x:is>
      </x:c>
      <x:c r="K1" s="7" t="inlineStr">
        <x:is>
          <x:t xml:space="preserve">pisos</x:t>
        </x:is>
      </x:c>
      <x:c r="L1" s="7" t="inlineStr">
        <x:is>
          <x:t xml:space="preserve">modulos_estimados</x:t>
        </x:is>
      </x:c>
      <x:c r="M1" s="7" t="inlineStr">
        <x:is>
          <x:t xml:space="preserve">altura_interior_m</x:t>
        </x:is>
      </x:c>
      <x:c r="N1" s="7" t="inlineStr">
        <x:is>
          <x:t xml:space="preserve">estructura_principal</x:t>
        </x:is>
      </x:c>
      <x:c r="O1" s="8" t="inlineStr">
        <x:is>
          <x:t xml:space="preserve">material_muros</x:t>
        </x:is>
      </x:c>
      <x:c r="P1" s="7" t="inlineStr">
        <x:is>
          <x:t xml:space="preserve">espesor_muro_mm</x:t>
        </x:is>
      </x:c>
      <x:c r="Q1" s="7" t="inlineStr">
        <x:is>
          <x:t xml:space="preserve">aislacion_muros</x:t>
        </x:is>
      </x:c>
      <x:c r="R1" s="7" t="inlineStr">
        <x:is>
          <x:t xml:space="preserve">espesor_aislacion_muro_mm</x:t>
        </x:is>
      </x:c>
      <x:c r="S1" s="8" t="inlineStr">
        <x:is>
          <x:t xml:space="preserve">material_cubierta</x:t>
        </x:is>
      </x:c>
      <x:c r="T1" s="7" t="inlineStr">
        <x:is>
          <x:t xml:space="preserve">espesor_cubierta_mm</x:t>
        </x:is>
      </x:c>
      <x:c r="U1" s="8" t="inlineStr">
        <x:is>
          <x:t xml:space="preserve">aislacion_cubierta</x:t>
        </x:is>
      </x:c>
      <x:c r="V1" s="7" t="inlineStr">
        <x:is>
          <x:t xml:space="preserve">material_piso_base</x:t>
        </x:is>
      </x:c>
      <x:c r="W1" s="8" t="inlineStr">
        <x:is>
          <x:t xml:space="preserve">aislacion_piso</x:t>
        </x:is>
      </x:c>
      <x:c r="X1" s="7" t="inlineStr">
        <x:is>
          <x:t xml:space="preserve">ventanas</x:t>
        </x:is>
      </x:c>
      <x:c r="Y1" s="7" t="inlineStr">
        <x:is>
          <x:t xml:space="preserve">revestimiento_exterior</x:t>
        </x:is>
      </x:c>
      <x:c r="Z1" s="7" t="inlineStr">
        <x:is>
          <x:t xml:space="preserve">revestimiento_interior</x:t>
        </x:is>
      </x:c>
      <x:c r="AA1" s="7" t="inlineStr">
        <x:is>
          <x:t xml:space="preserve">fundacion_recomendada</x:t>
        </x:is>
      </x:c>
      <x:c r="AB1" s="7" t="inlineStr">
        <x:is>
          <x:t xml:space="preserve">tiempo_fabricacion_semanas</x:t>
        </x:is>
      </x:c>
      <x:c r="AC1" s="7" t="inlineStr">
        <x:is>
          <x:t xml:space="preserve">tiempo_montaje_dias</x:t>
        </x:is>
      </x:c>
      <x:c r="AD1" s="7" t="inlineStr">
        <x:is>
          <x:t xml:space="preserve">uso_recomendado</x:t>
        </x:is>
      </x:c>
      <x:c r="AE1" s="7" t="inlineStr">
        <x:is>
          <x:t xml:space="preserve">clima_recomendado</x:t>
        </x:is>
      </x:c>
      <x:c r="AF1" s="8" t="inlineStr">
        <x:is>
          <x:t xml:space="preserve">norma_referencial</x:t>
        </x:is>
      </x:c>
      <x:c r="AG1" s="8" t="inlineStr">
        <x:is>
          <x:t xml:space="preserve">fuente_referencial_url</x:t>
        </x:is>
      </x:c>
      <x:c r="AH1" s="8" t="inlineStr">
        <x:is>
          <x:t xml:space="preserve">especificaciones_tecnicas_resumen</x:t>
        </x:is>
      </x:c>
    </x:row>
    <x:row r="2" ht="32" customHeight="1">
      <x:c r="A2" s="9" t="inlineStr">
        <x:is>
          <x:t xml:space="preserve">MOD-0001</x:t>
        </x:is>
      </x:c>
      <x:c r="B2" s="9" t="inlineStr">
        <x:is>
          <x:t xml:space="preserve">EMP-001</x:t>
        </x:is>
      </x:c>
      <x:c r="C2" s="9" t="inlineStr">
        <x:is>
          <x:t xml:space="preserve">Maipo 60</x:t>
        </x:is>
      </x:c>
      <x:c r="D2" s="9" t="inlineStr">
        <x:is>
          <x:t xml:space="preserve">Maipo</x:t>
        </x:is>
      </x:c>
      <x:c r="E2" s="9" t="inlineStr">
        <x:is>
          <x:t xml:space="preserve">Valle</x:t>
        </x:is>
      </x:c>
      <x:c r="F2" s="9" t="inlineStr">
        <x:is>
          <x:t xml:space="preserve">Sí</x:t>
        </x:is>
      </x:c>
      <x:c r="G2" s="9" t="inlineStr">
        <x:is>
          <x:t xml:space="preserve">SIP</x:t>
        </x:is>
      </x:c>
      <x:c r="H2" s="15" t="n">
        <x:v>60</x:v>
      </x:c>
      <x:c r="I2" s="9" t="n">
        <x:v>2</x:v>
      </x:c>
      <x:c r="J2" s="9" t="n">
        <x:v>1</x:v>
      </x:c>
      <x:c r="K2" s="9" t="n">
        <x:v>1</x:v>
      </x:c>
      <x:c r="L2" s="9" t="n">
        <x:v>2</x:v>
      </x:c>
      <x:c r="M2" s="12" t="n">
        <x:v>2.4</x:v>
      </x:c>
      <x:c r="N2" s="9" t="inlineStr">
        <x:is>
          <x:t xml:space="preserve">Panel SIP estructural con uniones en pino seco</x:t>
        </x:is>
      </x:c>
      <x:c r="O2" s="10" t="inlineStr">
        <x:is>
          <x:t xml:space="preserve">2 placas OSB estructural + núcleo EPS alta densidad</x:t>
        </x:is>
      </x:c>
      <x:c r="P2" s="15" t="n">
        <x:v>90</x:v>
      </x:c>
      <x:c r="Q2" s="9" t="inlineStr">
        <x:is>
          <x:t xml:space="preserve">EPS alta densidad 15 kg/m³</x:t>
        </x:is>
      </x:c>
      <x:c r="R2" s="15" t="n">
        <x:v>53</x:v>
      </x:c>
      <x:c r="S2" s="10" t="inlineStr">
        <x:is>
          <x:t xml:space="preserve">Panel SIP de cubierta + membrana hidrófuga + hojalatería</x:t>
        </x:is>
      </x:c>
      <x:c r="T2" s="15" t="n">
        <x:v>130</x:v>
      </x:c>
      <x:c r="U2" s="10" t="inlineStr">
        <x:is>
          <x:t xml:space="preserve">EPS integrado + sellos PU</x:t>
        </x:is>
      </x:c>
      <x:c r="V2" s="9" t="inlineStr">
        <x:is>
          <x:t xml:space="preserve">Base entramado madera o radier con barrera de humedad</x:t>
        </x:is>
      </x:c>
      <x:c r="W2" s="10" t="inlineStr">
        <x:is>
          <x:t xml:space="preserve">Aislación bajo piso PET o lana mineral 50-100 mm</x:t>
        </x:is>
      </x:c>
      <x:c r="X2" s="9" t="inlineStr">
        <x:is>
          <x:t xml:space="preserve">PVC DVH</x:t>
        </x:is>
      </x:c>
      <x:c r="Y2" s="9" t="inlineStr">
        <x:is>
          <x:t xml:space="preserve">Plancha metálica prepintada</x:t>
        </x:is>
      </x:c>
      <x:c r="Z2" s="9" t="inlineStr">
        <x:is>
          <x:t xml:space="preserve">MDF en zonas secas</x:t>
        </x:is>
      </x:c>
      <x:c r="AA2" s="9" t="inlineStr">
        <x:is>
          <x:t xml:space="preserve">Fundación corrida</x:t>
        </x:is>
      </x:c>
      <x:c r="AB2" s="15" t="n">
        <x:v>6</x:v>
      </x:c>
      <x:c r="AC2" s="15" t="n">
        <x:v>9</x:v>
      </x:c>
      <x:c r="AD2" s="9" t="inlineStr">
        <x:is>
          <x:t xml:space="preserve">Oficina + vivienda</x:t>
        </x:is>
      </x:c>
      <x:c r="AE2" s="9" t="inlineStr">
        <x:is>
          <x:t xml:space="preserve">Norte árido / desértico</x:t>
        </x:is>
      </x:c>
      <x:c r="AF2" s="10" t="inlineStr">
        <x:is>
          <x:t xml:space="preserve">NCh3393:2016 (referencial para paneles SIP)</x:t>
        </x:is>
      </x:c>
      <x:c r="AG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" s="10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130 mm; ventanas PVC termopanel; revestimiento exterior Madera tratada; interior MDF en zonas secas; fundación sugerida Sobrecimientos y radier.</x:t>
        </x:is>
      </x:c>
    </x:row>
    <x:row r="3" ht="32" customHeight="1">
      <x:c r="A3" s="9" t="inlineStr">
        <x:is>
          <x:t xml:space="preserve">MOD-0002</x:t>
        </x:is>
      </x:c>
      <x:c r="B3" s="9" t="inlineStr">
        <x:is>
          <x:t xml:space="preserve">EMP-001</x:t>
        </x:is>
      </x:c>
      <x:c r="C3" s="9" t="inlineStr">
        <x:is>
          <x:t xml:space="preserve">Rapel 104</x:t>
        </x:is>
      </x:c>
      <x:c r="D3" s="9" t="inlineStr">
        <x:is>
          <x:t xml:space="preserve">Rapel</x:t>
        </x:is>
      </x:c>
      <x:c r="E3" s="9" t="inlineStr">
        <x:is>
          <x:t xml:space="preserve">Archipiélago</x:t>
        </x:is>
      </x:c>
      <x:c r="F3" s="9" t="inlineStr">
        <x:is>
          <x:t xml:space="preserve">Sí</x:t>
        </x:is>
      </x:c>
      <x:c r="G3" s="9" t="inlineStr">
        <x:is>
          <x:t xml:space="preserve">SIP</x:t>
        </x:is>
      </x:c>
      <x:c r="H3" s="15" t="n">
        <x:v>104</x:v>
      </x:c>
      <x:c r="I3" s="9" t="n">
        <x:v>3</x:v>
      </x:c>
      <x:c r="J3" s="9" t="n">
        <x:v>2</x:v>
      </x:c>
      <x:c r="K3" s="9" t="n">
        <x:v>1</x:v>
      </x:c>
      <x:c r="L3" s="9" t="n">
        <x:v>3</x:v>
      </x:c>
      <x:c r="M3" s="12" t="n">
        <x:v>2.5</x:v>
      </x:c>
      <x:c r="N3" s="9" t="inlineStr">
        <x:is>
          <x:t xml:space="preserve">Panel SIP estructural con uniones en pino seco</x:t>
        </x:is>
      </x:c>
      <x:c r="O3" s="10" t="inlineStr">
        <x:is>
          <x:t xml:space="preserve">2 placas OSB estructural + núcleo EPS alta densidad</x:t>
        </x:is>
      </x:c>
      <x:c r="P3" s="15" t="n">
        <x:v>130</x:v>
      </x:c>
      <x:c r="Q3" s="9" t="inlineStr">
        <x:is>
          <x:t xml:space="preserve">EPS alta densidad 15 kg/m³</x:t>
        </x:is>
      </x:c>
      <x:c r="R3" s="15" t="n">
        <x:v>105</x:v>
      </x:c>
      <x:c r="S3" s="10" t="inlineStr">
        <x:is>
          <x:t xml:space="preserve">Panel SIP de cubierta + membrana hidrófuga + hojalatería</x:t>
        </x:is>
      </x:c>
      <x:c r="T3" s="15" t="n">
        <x:v>130</x:v>
      </x:c>
      <x:c r="U3" s="10" t="inlineStr">
        <x:is>
          <x:t xml:space="preserve">EPS integrado + sellos PU</x:t>
        </x:is>
      </x:c>
      <x:c r="V3" s="9" t="inlineStr">
        <x:is>
          <x:t xml:space="preserve">Base entramado madera o radier con barrera de humedad</x:t>
        </x:is>
      </x:c>
      <x:c r="W3" s="10" t="inlineStr">
        <x:is>
          <x:t xml:space="preserve">Aislación bajo piso PET o lana mineral 50-100 mm</x:t>
        </x:is>
      </x:c>
      <x:c r="X3" s="9" t="inlineStr">
        <x:is>
          <x:t xml:space="preserve">Aluminio con termopanel</x:t>
        </x:is>
      </x:c>
      <x:c r="Y3" s="9" t="inlineStr">
        <x:is>
          <x:t xml:space="preserve">Smart Panel</x:t>
        </x:is>
      </x:c>
      <x:c r="Z3" s="9" t="inlineStr">
        <x:is>
          <x:t xml:space="preserve">Yeso cartón RH en zonas húmedas</x:t>
        </x:is>
      </x:c>
      <x:c r="AA3" s="9" t="inlineStr">
        <x:is>
          <x:t xml:space="preserve">Radier afinado</x:t>
        </x:is>
      </x:c>
      <x:c r="AB3" s="15" t="n">
        <x:v>4</x:v>
      </x:c>
      <x:c r="AC3" s="15" t="n">
        <x:v>7</x:v>
      </x:c>
      <x:c r="AD3" s="9" t="inlineStr">
        <x:is>
          <x:t xml:space="preserve">Segunda vivienda</x:t>
        </x:is>
      </x:c>
      <x:c r="AE3" s="9" t="inlineStr">
        <x:is>
          <x:t xml:space="preserve">Norte árido / desértico</x:t>
        </x:is>
      </x:c>
      <x:c r="AF3" s="10" t="inlineStr">
        <x:is>
          <x:t xml:space="preserve">NCh3393:2016 (referencial para paneles SIP)</x:t>
        </x:is>
      </x:c>
      <x:c r="AG3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" s="10" t="inlineStr">
        <x:is>
          <x:t xml:space="preserve">Estructura: Panel SIP estructural con uniones en pino seco; muros 2 placas OSB estructural + núcleo EPS alta densidad de 130 mm con aislación EPS alta densidad 15 kg/m³ (105 mm); cubierta Panel SIP de cubierta + membrana hidrófuga + hojalatería de 130 mm; ventanas PVC termopanel; revestimiento exterior Plancha metálica prepintada; interior Yeso cartón pintado; fundación sugerida Fundación corrida.</x:t>
        </x:is>
      </x:c>
    </x:row>
    <x:row r="4" ht="32" customHeight="1">
      <x:c r="A4" s="9" t="inlineStr">
        <x:is>
          <x:t xml:space="preserve">MOD-0003</x:t>
        </x:is>
      </x:c>
      <x:c r="B4" s="9" t="inlineStr">
        <x:is>
          <x:t xml:space="preserve">EMP-001</x:t>
        </x:is>
      </x:c>
      <x:c r="C4" s="9" t="inlineStr">
        <x:is>
          <x:t xml:space="preserve">Mataquito 104</x:t>
        </x:is>
      </x:c>
      <x:c r="D4" s="9" t="inlineStr">
        <x:is>
          <x:t xml:space="preserve">Mataquito</x:t>
        </x:is>
      </x:c>
      <x:c r="E4" s="9" t="inlineStr">
        <x:is>
          <x:t xml:space="preserve">Valle</x:t>
        </x:is>
      </x:c>
      <x:c r="F4" s="9" t="inlineStr">
        <x:is>
          <x:t xml:space="preserve">Sí</x:t>
        </x:is>
      </x:c>
      <x:c r="G4" s="9" t="inlineStr">
        <x:is>
          <x:t xml:space="preserve">MODULAR_TIMBER</x:t>
        </x:is>
      </x:c>
      <x:c r="H4" s="15" t="n">
        <x:v>104</x:v>
      </x:c>
      <x:c r="I4" s="9" t="n">
        <x:v>3</x:v>
      </x:c>
      <x:c r="J4" s="9" t="n">
        <x:v>2</x:v>
      </x:c>
      <x:c r="K4" s="9" t="n">
        <x:v>1</x:v>
      </x:c>
      <x:c r="L4" s="9" t="n">
        <x:v>3</x:v>
      </x:c>
      <x:c r="M4" s="12" t="n">
        <x:v>2.4</x:v>
      </x:c>
      <x:c r="N4" s="9" t="inlineStr">
        <x:is>
          <x:t xml:space="preserve">Entramado ligero en pino impregnado</x:t>
        </x:is>
      </x:c>
      <x:c r="O4" s="10" t="inlineStr">
        <x:is>
          <x:t xml:space="preserve">Madera estructural + OSB / terciado + barrera hidrófuga</x:t>
        </x:is>
      </x:c>
      <x:c r="P4" s="15" t="n">
        <x:v>120</x:v>
      </x:c>
      <x:c r="Q4" s="9" t="inlineStr">
        <x:is>
          <x:t xml:space="preserve">Lana mineral / lana de vidrio / PET reciclado</x:t>
        </x:is>
      </x:c>
      <x:c r="R4" s="15" t="n">
        <x:v>60</x:v>
      </x:c>
      <x:c r="S4" s="10" t="inlineStr">
        <x:is>
          <x:t xml:space="preserve">Cercha de madera + cubierta metálica o tejuela asfáltica</x:t>
        </x:is>
      </x:c>
      <x:c r="T4" s="15" t="n">
        <x:v>150</x:v>
      </x:c>
      <x:c r="U4" s="10" t="inlineStr">
        <x:is>
          <x:t xml:space="preserve">Lana mineral 80-140 mm + membrana</x:t>
        </x:is>
      </x:c>
      <x:c r="V4" s="9" t="inlineStr">
        <x:is>
          <x:t xml:space="preserve">Plataforma de madera estructural o radier</x:t>
        </x:is>
      </x:c>
      <x:c r="W4" s="10" t="inlineStr">
        <x:is>
          <x:t xml:space="preserve">Lana mineral 50-100 mm / barrera humedad</x:t>
        </x:is>
      </x:c>
      <x:c r="X4" s="9" t="inlineStr">
        <x:is>
          <x:t xml:space="preserve">Aluminio termopanel</x:t>
        </x:is>
      </x:c>
      <x:c r="Y4" s="9" t="inlineStr">
        <x:is>
          <x:t xml:space="preserve">Siding fibrocemento</x:t>
        </x:is>
      </x:c>
      <x:c r="Z4" s="9" t="inlineStr">
        <x:is>
          <x:t xml:space="preserve">MDF ranurado</x:t>
        </x:is>
      </x:c>
      <x:c r="AA4" s="9" t="inlineStr">
        <x:is>
          <x:t xml:space="preserve">Radier</x:t>
        </x:is>
      </x:c>
      <x:c r="AB4" s="15" t="n">
        <x:v>4</x:v>
      </x:c>
      <x:c r="AC4" s="15" t="n">
        <x:v>15</x:v>
      </x:c>
      <x:c r="AD4" s="9" t="inlineStr">
        <x:is>
          <x:t xml:space="preserve">Turismo / arriendo</x:t>
        </x:is>
      </x:c>
      <x:c r="AE4" s="9" t="inlineStr">
        <x:is>
          <x:t xml:space="preserve">Norte árido / desértico</x:t>
        </x:is>
      </x:c>
      <x:c r="AF4" s="10" t="inlineStr">
        <x:is>
          <x:t xml:space="preserve">Especificaciones técnicas de vivienda industrializada en madera (referencial)</x:t>
        </x:is>
      </x:c>
      <x:c r="AG4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4" s="10" t="inlineStr">
        <x:is>
          <x:t xml:space="preserve">Estructura: Wood frame modular; muros Madera estructural + OSB / terciado + barrera hidrófuga de 120 mm con aislación Lana mineral / lana de vidrio / PET reciclado (60 mm); cubierta Cercha de madera + cubierta metálica o tejuela asfáltica de 150 mm; ventanas PVC termopanel; revestimiento exterior Madera tratada; interior Yeso cartón; fundación sugerida Fundación corrida.</x:t>
        </x:is>
      </x:c>
    </x:row>
    <x:row r="5" ht="32" customHeight="1">
      <x:c r="A5" s="9" t="inlineStr">
        <x:is>
          <x:t xml:space="preserve">MOD-0004</x:t>
        </x:is>
      </x:c>
      <x:c r="B5" s="9" t="inlineStr">
        <x:is>
          <x:t xml:space="preserve">EMP-001</x:t>
        </x:is>
      </x:c>
      <x:c r="C5" s="9" t="inlineStr">
        <x:is>
          <x:t xml:space="preserve">Maule 156</x:t>
        </x:is>
      </x:c>
      <x:c r="D5" s="9" t="inlineStr">
        <x:is>
          <x:t xml:space="preserve">Maule</x:t>
        </x:is>
      </x:c>
      <x:c r="E5" s="9" t="inlineStr">
        <x:is>
          <x:t xml:space="preserve">Ciudad</x:t>
        </x:is>
      </x:c>
      <x:c r="F5" s="9" t="inlineStr">
        <x:is>
          <x:t xml:space="preserve">Sí</x:t>
        </x:is>
      </x:c>
      <x:c r="G5" s="9" t="inlineStr">
        <x:is>
          <x:t xml:space="preserve">STEEL_FRAME</x:t>
        </x:is>
      </x:c>
      <x:c r="H5" s="15" t="n">
        <x:v>156</x:v>
      </x:c>
      <x:c r="I5" s="9" t="n">
        <x:v>4</x:v>
      </x:c>
      <x:c r="J5" s="9" t="n">
        <x:v>3</x:v>
      </x:c>
      <x:c r="K5" s="9" t="n">
        <x:v>1</x:v>
      </x:c>
      <x:c r="L5" s="9" t="n">
        <x:v>4</x:v>
      </x:c>
      <x:c r="M5" s="12" t="n">
        <x:v>2.4</x:v>
      </x:c>
      <x:c r="N5" s="9" t="inlineStr">
        <x:is>
          <x:t xml:space="preserve">Perfilería de acero galvanizado liviano</x:t>
        </x:is>
      </x:c>
      <x:c r="O5" s="10" t="inlineStr">
        <x:is>
          <x:t xml:space="preserve">Acero galvanizado + placa OSB/fibrocemento + cámara técnica</x:t>
        </x:is>
      </x:c>
      <x:c r="P5" s="15" t="n">
        <x:v>140</x:v>
      </x:c>
      <x:c r="Q5" s="9" t="inlineStr">
        <x:is>
          <x:t xml:space="preserve">Lana mineral o lana de roca / PET / EPS según zona térmica</x:t>
        </x:is>
      </x:c>
      <x:c r="R5" s="15" t="n">
        <x:v>100</x:v>
      </x:c>
      <x:c r="S5" s="10" t="inlineStr">
        <x:is>
          <x:t xml:space="preserve">Cerchas o paneles steel frame + cubierta metálica</x:t>
        </x:is>
      </x:c>
      <x:c r="T5" s="15" t="n">
        <x:v>150</x:v>
      </x:c>
      <x:c r="U5" s="10" t="inlineStr">
        <x:is>
          <x:t xml:space="preserve">Lana mineral / lana de roca + barrera de vapor</x:t>
        </x:is>
      </x:c>
      <x:c r="V5" s="9" t="inlineStr">
        <x:is>
          <x:t xml:space="preserve">Envigado metálico o plataforma estructural</x:t>
        </x:is>
      </x:c>
      <x:c r="W5" s="10" t="inlineStr">
        <x:is>
          <x:t xml:space="preserve">Lana mineral 50-100 mm + placas estructurales</x:t>
        </x:is>
      </x:c>
      <x:c r="X5" s="9" t="inlineStr">
        <x:is>
          <x:t xml:space="preserve">Aluminio RPT termopanel</x:t>
        </x:is>
      </x:c>
      <x:c r="Y5" s="9" t="inlineStr">
        <x:is>
          <x:t xml:space="preserve">Siding fibrocemento</x:t>
        </x:is>
      </x:c>
      <x:c r="Z5" s="9" t="inlineStr">
        <x:is>
          <x:t xml:space="preserve">MDF pintado</x:t>
        </x:is>
      </x:c>
      <x:c r="AA5" s="9" t="inlineStr">
        <x:is>
          <x:t xml:space="preserve">Vigas de fundación y radier</x:t>
        </x:is>
      </x:c>
      <x:c r="AB5" s="15" t="n">
        <x:v>7</x:v>
      </x:c>
      <x:c r="AC5" s="15" t="n">
        <x:v>14</x:v>
      </x:c>
      <x:c r="AD5" s="9" t="inlineStr">
        <x:is>
          <x:t xml:space="preserve">Cabaña permanente</x:t>
        </x:is>
      </x:c>
      <x:c r="AE5" s="9" t="inlineStr">
        <x:is>
          <x:t xml:space="preserve">Norte árido / desértico</x:t>
        </x:is>
      </x:c>
      <x:c r="AF5" s="10" t="inlineStr">
        <x:is>
          <x:t xml:space="preserve">Criterio térmico referencial OGUC / reglamentación térmica vigente</x:t>
        </x:is>
      </x:c>
      <x:c r="AG5" s="10" t="inlineStr">
        <x:is>
          <x:t xml:space="preserve">https://www.steelframe.cl/ | https://vhaceros.cl/blog/steel-framing-principios-estructurales-y-ventajas-en-la-construccion-chilena/</x:t>
        </x:is>
      </x:c>
      <x:c r="AH5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150 mm; ventanas PVC termopanel; revestimiento exterior Siding fibrocemento; interior MDF pintado; fundación sugerida Vigas de fundación y radier.</x:t>
        </x:is>
      </x:c>
    </x:row>
    <x:row r="6" ht="32" customHeight="1">
      <x:c r="A6" s="9" t="inlineStr">
        <x:is>
          <x:t xml:space="preserve">MOD-0005</x:t>
        </x:is>
      </x:c>
      <x:c r="B6" s="9" t="inlineStr">
        <x:is>
          <x:t xml:space="preserve">EMP-001</x:t>
        </x:is>
      </x:c>
      <x:c r="C6" s="9" t="inlineStr">
        <x:is>
          <x:t xml:space="preserve">Itata 176</x:t>
        </x:is>
      </x:c>
      <x:c r="D6" s="9" t="inlineStr">
        <x:is>
          <x:t xml:space="preserve">Itata</x:t>
        </x:is>
      </x:c>
      <x:c r="E6" s="9" t="inlineStr">
        <x:is>
          <x:t xml:space="preserve">Comuna</x:t>
        </x:is>
      </x:c>
      <x:c r="F6" s="9" t="inlineStr">
        <x:is>
          <x:t xml:space="preserve">Sí</x:t>
        </x:is>
      </x:c>
      <x:c r="G6" s="9" t="inlineStr">
        <x:is>
          <x:t xml:space="preserve">HYBRID_MODULAR</x:t>
        </x:is>
      </x:c>
      <x:c r="H6" s="15" t="n">
        <x:v>176</x:v>
      </x:c>
      <x:c r="I6" s="9" t="n">
        <x:v>4</x:v>
      </x:c>
      <x:c r="J6" s="9" t="n">
        <x:v>3</x:v>
      </x:c>
      <x:c r="K6" s="9" t="n">
        <x:v>2</x:v>
      </x:c>
      <x:c r="L6" s="9" t="n">
        <x:v>4</x:v>
      </x:c>
      <x:c r="M6" s="12" t="n">
        <x:v>2.4</x:v>
      </x:c>
      <x:c r="N6" s="9" t="inlineStr">
        <x:is>
          <x:t xml:space="preserve">Módulos de acero + paneles SIP</x:t>
        </x:is>
      </x:c>
      <x:c r="O6" s="10" t="inlineStr">
        <x:is>
          <x:t xml:space="preserve">Acero galvanizado o madera laminada + panel SIP MgO/OSB</x:t>
        </x:is>
      </x:c>
      <x:c r="P6" s="15" t="n">
        <x:v>120</x:v>
      </x:c>
      <x:c r="Q6" s="9" t="inlineStr">
        <x:is>
          <x:t xml:space="preserve">Lana mineral 75-100 mm o EPS integrado</x:t>
        </x:is>
      </x:c>
      <x:c r="R6" s="15" t="n">
        <x:v>100</x:v>
      </x:c>
      <x:c r="S6" s="10" t="inlineStr">
        <x:is>
          <x:t xml:space="preserve">Módulo volumétrico con cubierta panelizada</x:t>
        </x:is>
      </x:c>
      <x:c r="T6" s="15" t="n">
        <x:v>160</x:v>
      </x:c>
      <x:c r="U6" s="10" t="inlineStr">
        <x:is>
          <x:t xml:space="preserve">Lana mineral / EPS / barrera vapor</x:t>
        </x:is>
      </x:c>
      <x:c r="V6" s="9" t="inlineStr">
        <x:is>
          <x:t xml:space="preserve">Bastidor metálico o madera laminada</x:t>
        </x:is>
      </x:c>
      <x:c r="W6" s="10" t="inlineStr">
        <x:is>
          <x:t xml:space="preserve">Lana mineral 80-100 mm + fibrocemento</x:t>
        </x:is>
      </x:c>
      <x:c r="X6" s="9" t="inlineStr">
        <x:is>
          <x:t xml:space="preserve">Aluminio termopanel</x:t>
        </x:is>
      </x:c>
      <x:c r="Y6" s="9" t="inlineStr">
        <x:is>
          <x:t xml:space="preserve">Plancha metálica</x:t>
        </x:is>
      </x:c>
      <x:c r="Z6" s="9" t="inlineStr">
        <x:is>
          <x:t xml:space="preserve">Yeso cartón RH</x:t>
        </x:is>
      </x:c>
      <x:c r="AA6" s="9" t="inlineStr">
        <x:is>
          <x:t xml:space="preserve">Pilotes ajustables</x:t>
        </x:is>
      </x:c>
      <x:c r="AB6" s="15" t="n">
        <x:v>5</x:v>
      </x:c>
      <x:c r="AC6" s="15" t="n">
        <x:v>4</x:v>
      </x:c>
      <x:c r="AD6" s="9" t="inlineStr">
        <x:is>
          <x:t xml:space="preserve">Segunda vivienda</x:t>
        </x:is>
      </x:c>
      <x:c r="AE6" s="9" t="inlineStr">
        <x:is>
          <x:t xml:space="preserve">Norte árido / desértico</x:t>
        </x:is>
      </x:c>
      <x:c r="AF6" s="10" t="inlineStr">
        <x:is>
          <x:t xml:space="preserve">Criterios de prefabricación modular y coordinación BIM (referencial)</x:t>
        </x:is>
      </x:c>
      <x:c r="AG6" s="10" t="inlineStr">
        <x:is>
          <x:t xml:space="preserve">https://modul.cl/construccion-de-casas-prefabricadas-modulares/ | https://tecnofasthome.cl/casas-modulares/</x:t>
        </x:is>
      </x:c>
      <x:c r="AH6" s="10" t="inlineStr">
        <x:is>
          <x:t xml:space="preserve">Estructura: Estructura híbrida acero-madera panelizada; muros Acero galvanizado o madera laminada + panel SIP MgO/OSB de 120 mm con aislación Lana mineral 75-100 mm o EPS integrado (100 mm); cubierta Módulo volumétrico con cubierta panelizada de 160 mm; ventanas PVC termopanel; revestimiento exterior Madera tratada; interior Melamina blanca; fundación sugerida Radier.</x:t>
        </x:is>
      </x:c>
    </x:row>
    <x:row r="7" ht="32" customHeight="1">
      <x:c r="A7" s="9" t="inlineStr">
        <x:is>
          <x:t xml:space="preserve">MOD-0006</x:t>
        </x:is>
      </x:c>
      <x:c r="B7" s="9" t="inlineStr">
        <x:is>
          <x:t xml:space="preserve">EMP-002</x:t>
        </x:is>
      </x:c>
      <x:c r="C7" s="9" t="inlineStr">
        <x:is>
          <x:t xml:space="preserve">Biobío 42</x:t>
        </x:is>
      </x:c>
      <x:c r="D7" s="9" t="inlineStr">
        <x:is>
          <x:t xml:space="preserve">Biobío</x:t>
        </x:is>
      </x:c>
      <x:c r="E7" s="9" t="inlineStr">
        <x:is>
          <x:t xml:space="preserve">Ciudad</x:t>
        </x:is>
      </x:c>
      <x:c r="F7" s="9" t="inlineStr">
        <x:is>
          <x:t xml:space="preserve">Sí</x:t>
        </x:is>
      </x:c>
      <x:c r="G7" s="9" t="inlineStr">
        <x:is>
          <x:t xml:space="preserve">SIP</x:t>
        </x:is>
      </x:c>
      <x:c r="H7" s="15" t="n">
        <x:v>42</x:v>
      </x:c>
      <x:c r="I7" s="9" t="n">
        <x:v>1</x:v>
      </x:c>
      <x:c r="J7" s="9" t="n">
        <x:v>1</x:v>
      </x:c>
      <x:c r="K7" s="9" t="n">
        <x:v>1</x:v>
      </x:c>
      <x:c r="L7" s="9" t="n">
        <x:v>1</x:v>
      </x:c>
      <x:c r="M7" s="12" t="n">
        <x:v>2.35</x:v>
      </x:c>
      <x:c r="N7" s="9" t="inlineStr">
        <x:is>
          <x:t xml:space="preserve">Panel SIP estructural con uniones en pino seco</x:t>
        </x:is>
      </x:c>
      <x:c r="O7" s="10" t="inlineStr">
        <x:is>
          <x:t xml:space="preserve">2 placas OSB estructural + núcleo EPS alta densidad</x:t>
        </x:is>
      </x:c>
      <x:c r="P7" s="15" t="n">
        <x:v>75</x:v>
      </x:c>
      <x:c r="Q7" s="9" t="inlineStr">
        <x:is>
          <x:t xml:space="preserve">EPS alta densidad 15 kg/m³</x:t>
        </x:is>
      </x:c>
      <x:c r="R7" s="15" t="n">
        <x:v>105</x:v>
      </x:c>
      <x:c r="S7" s="10" t="inlineStr">
        <x:is>
          <x:t xml:space="preserve">Panel SIP de cubierta + membrana hidrófuga + hojalatería</x:t>
        </x:is>
      </x:c>
      <x:c r="T7" s="15" t="n">
        <x:v>164</x:v>
      </x:c>
      <x:c r="U7" s="10" t="inlineStr">
        <x:is>
          <x:t xml:space="preserve">EPS integrado + sellos PU</x:t>
        </x:is>
      </x:c>
      <x:c r="V7" s="9" t="inlineStr">
        <x:is>
          <x:t xml:space="preserve">Base entramado madera o radier con barrera de humedad</x:t>
        </x:is>
      </x:c>
      <x:c r="W7" s="10" t="inlineStr">
        <x:is>
          <x:t xml:space="preserve">Aislación bajo piso PET o lana mineral 50-100 mm</x:t>
        </x:is>
      </x:c>
      <x:c r="X7" s="9" t="inlineStr">
        <x:is>
          <x:t xml:space="preserve">Aluminio con termopanel</x:t>
        </x:is>
      </x:c>
      <x:c r="Y7" s="9" t="inlineStr">
        <x:is>
          <x:t xml:space="preserve">Smart Panel</x:t>
        </x:is>
      </x:c>
      <x:c r="Z7" s="9" t="inlineStr">
        <x:is>
          <x:t xml:space="preserve">Yeso cartón pintado</x:t>
        </x:is>
      </x:c>
      <x:c r="AA7" s="9" t="inlineStr">
        <x:is>
          <x:t xml:space="preserve">Sobrecimientos y radier</x:t>
        </x:is>
      </x:c>
      <x:c r="AB7" s="15" t="n">
        <x:v>4</x:v>
      </x:c>
      <x:c r="AC7" s="15" t="n">
        <x:v>11</x:v>
      </x:c>
      <x:c r="AD7" s="9" t="inlineStr">
        <x:is>
          <x:t xml:space="preserve">Parcela</x:t>
        </x:is>
      </x:c>
      <x:c r="AE7" s="9" t="inlineStr">
        <x:is>
          <x:t xml:space="preserve">Norte árido / desértico</x:t>
        </x:is>
      </x:c>
      <x:c r="AF7" s="10" t="inlineStr">
        <x:is>
          <x:t xml:space="preserve">NCh3393:2016 (referencial para paneles SIP)</x:t>
        </x:is>
      </x:c>
      <x:c r="AG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" s="10" t="inlineStr">
        <x:is>
          <x:t xml:space="preserve">Estructura: Panel SIP estructural OSB/EPS/OSB; muros 2 placas OSB estructural + núcleo EPS alta densidad de 75 mm con aislación EPS alta densidad 15 kg/m³ (105 mm); cubierta Panel SIP de cubierta + membrana hidrófuga + hojalatería de 164 mm; ventanas PVC termopanel; revestimiento exterior Plancha metálica prepintada; interior MDF en zonas secas; fundación sugerida Sobrecimientos y radier.</x:t>
        </x:is>
      </x:c>
    </x:row>
    <x:row r="8" ht="32" customHeight="1">
      <x:c r="A8" s="9" t="inlineStr">
        <x:is>
          <x:t xml:space="preserve">MOD-0007</x:t>
        </x:is>
      </x:c>
      <x:c r="B8" s="9" t="inlineStr">
        <x:is>
          <x:t xml:space="preserve">EMP-002</x:t>
        </x:is>
      </x:c>
      <x:c r="C8" s="9" t="inlineStr">
        <x:is>
          <x:t xml:space="preserve">Laja 104</x:t>
        </x:is>
      </x:c>
      <x:c r="D8" s="9" t="inlineStr">
        <x:is>
          <x:t xml:space="preserve">Laja</x:t>
        </x:is>
      </x:c>
      <x:c r="E8" s="9" t="inlineStr">
        <x:is>
          <x:t xml:space="preserve">Lago</x:t>
        </x:is>
      </x:c>
      <x:c r="F8" s="9" t="inlineStr">
        <x:is>
          <x:t xml:space="preserve">Sí</x:t>
        </x:is>
      </x:c>
      <x:c r="G8" s="9" t="inlineStr">
        <x:is>
          <x:t xml:space="preserve">STEEL_FRAME</x:t>
        </x:is>
      </x:c>
      <x:c r="H8" s="15" t="n">
        <x:v>104</x:v>
      </x:c>
      <x:c r="I8" s="9" t="n">
        <x:v>3</x:v>
      </x:c>
      <x:c r="J8" s="9" t="n">
        <x:v>2</x:v>
      </x:c>
      <x:c r="K8" s="9" t="n">
        <x:v>1</x:v>
      </x:c>
      <x:c r="L8" s="9" t="n">
        <x:v>3</x:v>
      </x:c>
      <x:c r="M8" s="12" t="n">
        <x:v>2.5</x:v>
      </x:c>
      <x:c r="N8" s="9" t="inlineStr">
        <x:is>
          <x:t xml:space="preserve">Panelizado steel frame industrializado</x:t>
        </x:is>
      </x:c>
      <x:c r="O8" s="10" t="inlineStr">
        <x:is>
          <x:t xml:space="preserve">Acero galvanizado + placa OSB/fibrocemento + cámara técnica</x:t>
        </x:is>
      </x:c>
      <x:c r="P8" s="15" t="n">
        <x:v>140</x:v>
      </x:c>
      <x:c r="Q8" s="9" t="inlineStr">
        <x:is>
          <x:t xml:space="preserve">Lana mineral o lana de roca / PET / EPS según zona térmica</x:t>
        </x:is>
      </x:c>
      <x:c r="R8" s="15" t="n">
        <x:v>100</x:v>
      </x:c>
      <x:c r="S8" s="10" t="inlineStr">
        <x:is>
          <x:t xml:space="preserve">Cerchas o paneles steel frame + cubierta metálica</x:t>
        </x:is>
      </x:c>
      <x:c r="T8" s="15" t="n">
        <x:v>180</x:v>
      </x:c>
      <x:c r="U8" s="10" t="inlineStr">
        <x:is>
          <x:t xml:space="preserve">Lana mineral / lana de roca + barrera de vapor</x:t>
        </x:is>
      </x:c>
      <x:c r="V8" s="9" t="inlineStr">
        <x:is>
          <x:t xml:space="preserve">Envigado metálico o plataforma estructural</x:t>
        </x:is>
      </x:c>
      <x:c r="W8" s="10" t="inlineStr">
        <x:is>
          <x:t xml:space="preserve">Lana mineral 50-100 mm + placas estructurales</x:t>
        </x:is>
      </x:c>
      <x:c r="X8" s="9" t="inlineStr">
        <x:is>
          <x:t xml:space="preserve">Aluminio RPT termopanel</x:t>
        </x:is>
      </x:c>
      <x:c r="Y8" s="9" t="inlineStr">
        <x:is>
          <x:t xml:space="preserve">Estuco sobre placa cementicia</x:t>
        </x:is>
      </x:c>
      <x:c r="Z8" s="9" t="inlineStr">
        <x:is>
          <x:t xml:space="preserve">Yeso cartón RF</x:t>
        </x:is>
      </x:c>
      <x:c r="AA8" s="9" t="inlineStr">
        <x:is>
          <x:t xml:space="preserve">Radier reforzado</x:t>
        </x:is>
      </x:c>
      <x:c r="AB8" s="15" t="n">
        <x:v>6</x:v>
      </x:c>
      <x:c r="AC8" s="15" t="n">
        <x:v>13</x:v>
      </x:c>
      <x:c r="AD8" s="9" t="inlineStr">
        <x:is>
          <x:t xml:space="preserve">Cabaña permanente</x:t>
        </x:is>
      </x:c>
      <x:c r="AE8" s="9" t="inlineStr">
        <x:is>
          <x:t xml:space="preserve">Norte árido / desértico</x:t>
        </x:is>
      </x:c>
      <x:c r="AF8" s="10" t="inlineStr">
        <x:is>
          <x:t xml:space="preserve">Criterio térmico referencial OGUC / reglamentación térmica vigente</x:t>
        </x:is>
      </x:c>
      <x:c r="AG8" s="10" t="inlineStr">
        <x:is>
          <x:t xml:space="preserve">https://www.steelframe.cl/ | https://vhaceros.cl/blog/steel-framing-principios-estructurales-y-ventajas-en-la-construccion-chilena/</x:t>
        </x:is>
      </x:c>
      <x:c r="AH8" s="10" t="inlineStr">
        <x:is>
          <x:t xml:space="preserve">Estructura: Panelizado steel frame industrializado; muros Acero galvanizado + placa OSB/fibrocemento + cámara técnica de 140 mm con aislación Lana mineral o lana de roca / PET / EPS según zona térmica (100 mm); cubierta Cerchas o paneles steel frame + cubierta metálica de 180 mm; ventanas PVC termopanel; revestimiento exterior Plancha metálica; interior Yeso cartón RF; fundación sugerida Radier reforzado.</x:t>
        </x:is>
      </x:c>
    </x:row>
    <x:row r="9" ht="32" customHeight="1">
      <x:c r="A9" s="9" t="inlineStr">
        <x:is>
          <x:t xml:space="preserve">MOD-0008</x:t>
        </x:is>
      </x:c>
      <x:c r="B9" s="9" t="inlineStr">
        <x:is>
          <x:t xml:space="preserve">EMP-002</x:t>
        </x:is>
      </x:c>
      <x:c r="C9" s="9" t="inlineStr">
        <x:is>
          <x:t xml:space="preserve">Vergara 112</x:t>
        </x:is>
      </x:c>
      <x:c r="D9" s="9" t="inlineStr">
        <x:is>
          <x:t xml:space="preserve">Vergara</x:t>
        </x:is>
      </x:c>
      <x:c r="E9" s="9" t="inlineStr">
        <x:is>
          <x:t xml:space="preserve">Archipiélago</x:t>
        </x:is>
      </x:c>
      <x:c r="F9" s="9" t="inlineStr">
        <x:is>
          <x:t xml:space="preserve">Sí</x:t>
        </x:is>
      </x:c>
      <x:c r="G9" s="9" t="inlineStr">
        <x:is>
          <x:t xml:space="preserve">SIP</x:t>
        </x:is>
      </x:c>
      <x:c r="H9" s="15" t="n">
        <x:v>112</x:v>
      </x:c>
      <x:c r="I9" s="9" t="n">
        <x:v>3</x:v>
      </x:c>
      <x:c r="J9" s="9" t="n">
        <x:v>2</x:v>
      </x:c>
      <x:c r="K9" s="9" t="n">
        <x:v>1</x:v>
      </x:c>
      <x:c r="L9" s="9" t="n">
        <x:v>3</x:v>
      </x:c>
      <x:c r="M9" s="12" t="n">
        <x:v>2.4</x:v>
      </x:c>
      <x:c r="N9" s="9" t="inlineStr">
        <x:is>
          <x:t xml:space="preserve">Panel SIP estructural con uniones en pino seco</x:t>
        </x:is>
      </x:c>
      <x:c r="O9" s="10" t="inlineStr">
        <x:is>
          <x:t xml:space="preserve">2 placas OSB estructural + núcleo EPS alta densidad</x:t>
        </x:is>
      </x:c>
      <x:c r="P9" s="15" t="n">
        <x:v>130</x:v>
      </x:c>
      <x:c r="Q9" s="9" t="inlineStr">
        <x:is>
          <x:t xml:space="preserve">EPS alta densidad 15 kg/m³</x:t>
        </x:is>
      </x:c>
      <x:c r="R9" s="15" t="n">
        <x:v>92</x:v>
      </x:c>
      <x:c r="S9" s="10" t="inlineStr">
        <x:is>
          <x:t xml:space="preserve">Panel SIP de cubierta + membrana hidrófuga + hojalatería</x:t>
        </x:is>
      </x:c>
      <x:c r="T9" s="15" t="n">
        <x:v>114</x:v>
      </x:c>
      <x:c r="U9" s="10" t="inlineStr">
        <x:is>
          <x:t xml:space="preserve">EPS integrado + sellos PU</x:t>
        </x:is>
      </x:c>
      <x:c r="V9" s="9" t="inlineStr">
        <x:is>
          <x:t xml:space="preserve">Base entramado madera o radier con barrera de humedad</x:t>
        </x:is>
      </x:c>
      <x:c r="W9" s="10" t="inlineStr">
        <x:is>
          <x:t xml:space="preserve">Aislación bajo piso PET o lana mineral 50-100 mm</x:t>
        </x:is>
      </x:c>
      <x:c r="X9" s="9" t="inlineStr">
        <x:is>
          <x:t xml:space="preserve">PVC DVH</x:t>
        </x:is>
      </x:c>
      <x:c r="Y9" s="9" t="inlineStr">
        <x:is>
          <x:t xml:space="preserve">Smart Panel</x:t>
        </x:is>
      </x:c>
      <x:c r="Z9" s="9" t="inlineStr">
        <x:is>
          <x:t xml:space="preserve">Yeso cartón pintado</x:t>
        </x:is>
      </x:c>
      <x:c r="AA9" s="9" t="inlineStr">
        <x:is>
          <x:t xml:space="preserve">Radier afinado</x:t>
        </x:is>
      </x:c>
      <x:c r="AB9" s="15" t="n">
        <x:v>7</x:v>
      </x:c>
      <x:c r="AC9" s="15" t="n">
        <x:v>4</x:v>
      </x:c>
      <x:c r="AD9" s="9" t="inlineStr">
        <x:is>
          <x:t xml:space="preserve">Parcela</x:t>
        </x:is>
      </x:c>
      <x:c r="AE9" s="9" t="inlineStr">
        <x:is>
          <x:t xml:space="preserve">Norte árido / desértico</x:t>
        </x:is>
      </x:c>
      <x:c r="AF9" s="10" t="inlineStr">
        <x:is>
          <x:t xml:space="preserve">NCh3393:2016 (referencial para paneles SIP)</x:t>
        </x:is>
      </x:c>
      <x:c r="AG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9" s="10" t="inlineStr">
        <x:is>
          <x:t xml:space="preserve">Estructura: Panel SIP estructural con uniones en pino seco; muros 2 placas OSB estructural + núcleo EPS alta densidad de 130 mm con aislación EPS alta densidad 15 kg/m³ (92 mm); cubierta Panel SIP de cubierta + membrana hidrófuga + hojalatería de 114 mm; ventanas Aluminio con termopanel; revestimiento exterior Smart Panel; interior MDF en zonas secas; fundación sugerida Pilotes metálicos.</x:t>
        </x:is>
      </x:c>
    </x:row>
    <x:row r="10" ht="32" customHeight="1">
      <x:c r="A10" s="9" t="inlineStr">
        <x:is>
          <x:t xml:space="preserve">MOD-0009</x:t>
        </x:is>
      </x:c>
      <x:c r="B10" s="9" t="inlineStr">
        <x:is>
          <x:t xml:space="preserve">EMP-002</x:t>
        </x:is>
      </x:c>
      <x:c r="C10" s="9" t="inlineStr">
        <x:is>
          <x:t xml:space="preserve">Toltén 84</x:t>
        </x:is>
      </x:c>
      <x:c r="D10" s="9" t="inlineStr">
        <x:is>
          <x:t xml:space="preserve">Toltén</x:t>
        </x:is>
      </x:c>
      <x:c r="E10" s="9" t="inlineStr">
        <x:is>
          <x:t xml:space="preserve">Lago</x:t>
        </x:is>
      </x:c>
      <x:c r="F10" s="9" t="inlineStr">
        <x:is>
          <x:t xml:space="preserve">Sí</x:t>
        </x:is>
      </x:c>
      <x:c r="G10" s="9" t="inlineStr">
        <x:is>
          <x:t xml:space="preserve">CONTAINER</x:t>
        </x:is>
      </x:c>
      <x:c r="H10" s="15" t="n">
        <x:v>84</x:v>
      </x:c>
      <x:c r="I10" s="9" t="n">
        <x:v>3</x:v>
      </x:c>
      <x:c r="J10" s="9" t="n">
        <x:v>2</x:v>
      </x:c>
      <x:c r="K10" s="9" t="n">
        <x:v>1</x:v>
      </x:c>
      <x:c r="L10" s="9" t="n">
        <x:v>2</x:v>
      </x:c>
      <x:c r="M10" s="12" t="n">
        <x:v>2.4</x:v>
      </x:c>
      <x:c r="N10" s="9" t="inlineStr">
        <x:is>
          <x:t xml:space="preserve">Módulo habitacional de acero galvanizado / corten</x:t>
        </x:is>
      </x:c>
      <x:c r="O10" s="10" t="inlineStr">
        <x:is>
          <x:t xml:space="preserve">Estructura container + subestructura interior + revestimiento</x:t>
        </x:is>
      </x:c>
      <x:c r="P10" s="15" t="n">
        <x:v>140</x:v>
      </x:c>
      <x:c r="Q10" s="9" t="inlineStr">
        <x:is>
          <x:t xml:space="preserve">Poliuretano proyectado o EPS/Aislapol 40-60 mm</x:t>
        </x:is>
      </x:c>
      <x:c r="R10" s="15" t="n">
        <x:v>50</x:v>
      </x:c>
      <x:c r="S10" s="10" t="inlineStr">
        <x:is>
          <x:t xml:space="preserve">Cubierta metálica container + sobretecho ventilado opcional</x:t>
        </x:is>
      </x:c>
      <x:c r="T10" s="15" t="n">
        <x:v>120</x:v>
      </x:c>
      <x:c r="U10" s="10" t="inlineStr">
        <x:is>
          <x:t xml:space="preserve">Poliuretano / EPS + barrera anticondensación</x:t>
        </x:is>
      </x:c>
      <x:c r="V10" s="9" t="inlineStr">
        <x:is>
          <x:t xml:space="preserve">Piso terciado 18 mm o base original acondicionada + vinílico</x:t>
        </x:is>
      </x:c>
      <x:c r="W10" s="10" t="inlineStr">
        <x:is>
          <x:t xml:space="preserve">Aislación bajo piso 40-80 mm</x:t>
        </x:is>
      </x:c>
      <x:c r="X10" s="9" t="inlineStr">
        <x:is>
          <x:t xml:space="preserve">PVC termopanel</x:t>
        </x:is>
      </x:c>
      <x:c r="Y10" s="9" t="inlineStr">
        <x:is>
          <x:t xml:space="preserve">Acero galvanizado pintado</x:t>
        </x:is>
      </x:c>
      <x:c r="Z10" s="9" t="inlineStr">
        <x:is>
          <x:t xml:space="preserve">Yeso cartón</x:t>
        </x:is>
      </x:c>
      <x:c r="AA10" s="9" t="inlineStr">
        <x:is>
          <x:t xml:space="preserve">Pilotes metálicos</x:t>
        </x:is>
      </x:c>
      <x:c r="AB10" s="15" t="n">
        <x:v>4</x:v>
      </x:c>
      <x:c r="AC10" s="15" t="n">
        <x:v>2</x:v>
      </x:c>
      <x:c r="AD10" s="9" t="inlineStr">
        <x:is>
          <x:t xml:space="preserve">Cabaña permanente</x:t>
        </x:is>
      </x:c>
      <x:c r="AE10" s="9" t="inlineStr">
        <x:is>
          <x:t xml:space="preserve">Norte árido / desértico</x:t>
        </x:is>
      </x:c>
      <x:c r="AF10" s="10" t="inlineStr">
        <x:is>
          <x:t xml:space="preserve">Criterios de aislación, ventilación y tratamiento anticorrosivo (referencial)</x:t>
        </x:is>
      </x:c>
      <x:c r="AG10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0" s="10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120 mm; ventanas PVC termopanel; revestimiento exterior Plancha metálica prepintada; interior Yeso cartón; fundación sugerida Dados de hormigón.</x:t>
        </x:is>
      </x:c>
    </x:row>
    <x:row r="11" ht="32" customHeight="1">
      <x:c r="A11" s="9" t="inlineStr">
        <x:is>
          <x:t xml:space="preserve">MOD-0010</x:t>
        </x:is>
      </x:c>
      <x:c r="B11" s="9" t="inlineStr">
        <x:is>
          <x:t xml:space="preserve">EMP-002</x:t>
        </x:is>
      </x:c>
      <x:c r="C11" s="9" t="inlineStr">
        <x:is>
          <x:t xml:space="preserve">Imperial 192</x:t>
        </x:is>
      </x:c>
      <x:c r="D11" s="9" t="inlineStr">
        <x:is>
          <x:t xml:space="preserve">Imperial</x:t>
        </x:is>
      </x:c>
      <x:c r="E11" s="9" t="inlineStr">
        <x:is>
          <x:t xml:space="preserve">Valle</x:t>
        </x:is>
      </x:c>
      <x:c r="F11" s="9" t="inlineStr">
        <x:is>
          <x:t xml:space="preserve">Sí</x:t>
        </x:is>
      </x:c>
      <x:c r="G11" s="9" t="inlineStr">
        <x:is>
          <x:t xml:space="preserve">HYBRID_MODULAR</x:t>
        </x:is>
      </x:c>
      <x:c r="H11" s="15" t="n">
        <x:v>192</x:v>
      </x:c>
      <x:c r="I11" s="9" t="n">
        <x:v>4</x:v>
      </x:c>
      <x:c r="J11" s="9" t="n">
        <x:v>3</x:v>
      </x:c>
      <x:c r="K11" s="9" t="n">
        <x:v>2</x:v>
      </x:c>
      <x:c r="L11" s="9" t="n">
        <x:v>4</x:v>
      </x:c>
      <x:c r="M11" s="12" t="n">
        <x:v>2.5</x:v>
      </x:c>
      <x:c r="N11" s="9" t="inlineStr">
        <x:is>
          <x:t xml:space="preserve">Módulos de acero + paneles SIP</x:t>
        </x:is>
      </x:c>
      <x:c r="O11" s="10" t="inlineStr">
        <x:is>
          <x:t xml:space="preserve">Acero galvanizado o madera laminada + panel SIP MgO/OSB</x:t>
        </x:is>
      </x:c>
      <x:c r="P11" s="15" t="n">
        <x:v>110</x:v>
      </x:c>
      <x:c r="Q11" s="9" t="inlineStr">
        <x:is>
          <x:t xml:space="preserve">Lana mineral 75-100 mm o EPS integrado</x:t>
        </x:is>
      </x:c>
      <x:c r="R11" s="15" t="n">
        <x:v>90</x:v>
      </x:c>
      <x:c r="S11" s="10" t="inlineStr">
        <x:is>
          <x:t xml:space="preserve">Módulo volumétrico con cubierta panelizada</x:t>
        </x:is>
      </x:c>
      <x:c r="T11" s="15" t="n">
        <x:v>140</x:v>
      </x:c>
      <x:c r="U11" s="10" t="inlineStr">
        <x:is>
          <x:t xml:space="preserve">Lana mineral / EPS / barrera vapor</x:t>
        </x:is>
      </x:c>
      <x:c r="V11" s="9" t="inlineStr">
        <x:is>
          <x:t xml:space="preserve">Bastidor metálico o madera laminada</x:t>
        </x:is>
      </x:c>
      <x:c r="W11" s="10" t="inlineStr">
        <x:is>
          <x:t xml:space="preserve">Lana mineral 80-100 mm + fibrocemento</x:t>
        </x:is>
      </x:c>
      <x:c r="X11" s="9" t="inlineStr">
        <x:is>
          <x:t xml:space="preserve">Aluminio termopanel</x:t>
        </x:is>
      </x:c>
      <x:c r="Y11" s="9" t="inlineStr">
        <x:is>
          <x:t xml:space="preserve">Plancha metálica</x:t>
        </x:is>
      </x:c>
      <x:c r="Z11" s="9" t="inlineStr">
        <x:is>
          <x:t xml:space="preserve">Yeso cartón pintado</x:t>
        </x:is>
      </x:c>
      <x:c r="AA11" s="9" t="inlineStr">
        <x:is>
          <x:t xml:space="preserve">Radier</x:t>
        </x:is>
      </x:c>
      <x:c r="AB11" s="15" t="n">
        <x:v>6</x:v>
      </x:c>
      <x:c r="AC11" s="15" t="n">
        <x:v>10</x:v>
      </x:c>
      <x:c r="AD11" s="9" t="inlineStr">
        <x:is>
          <x:t xml:space="preserve">Parcela</x:t>
        </x:is>
      </x:c>
      <x:c r="AE11" s="9" t="inlineStr">
        <x:is>
          <x:t xml:space="preserve">Norte árido / desértico</x:t>
        </x:is>
      </x:c>
      <x:c r="AF11" s="10" t="inlineStr">
        <x:is>
          <x:t xml:space="preserve">Criterios de prefabricación modular y coordinación BIM (referencial)</x:t>
        </x:is>
      </x:c>
      <x:c r="AG11" s="10" t="inlineStr">
        <x:is>
          <x:t xml:space="preserve">https://modul.cl/construccion-de-casas-prefabricadas-modulares/ | https://tecnofasthome.cl/casas-modulares/</x:t>
        </x:is>
      </x:c>
      <x:c r="AH11" s="10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140 mm; ventanas Aluminio termopanel; revestimiento exterior Plancha metálica; interior Melamina blanca; fundación sugerida Pilotes ajustables.</x:t>
        </x:is>
      </x:c>
    </x:row>
    <x:row r="12" ht="32" customHeight="1">
      <x:c r="A12" s="9" t="inlineStr">
        <x:is>
          <x:t xml:space="preserve">MOD-0011</x:t>
        </x:is>
      </x:c>
      <x:c r="B12" s="9" t="inlineStr">
        <x:is>
          <x:t xml:space="preserve">EMP-003</x:t>
        </x:is>
      </x:c>
      <x:c r="C12" s="9" t="inlineStr">
        <x:is>
          <x:t xml:space="preserve">Valdivia 66</x:t>
        </x:is>
      </x:c>
      <x:c r="D12" s="9" t="inlineStr">
        <x:is>
          <x:t xml:space="preserve">Valdivia</x:t>
        </x:is>
      </x:c>
      <x:c r="E12" s="9" t="inlineStr">
        <x:is>
          <x:t xml:space="preserve">Volcán</x:t>
        </x:is>
      </x:c>
      <x:c r="F12" s="9" t="inlineStr">
        <x:is>
          <x:t xml:space="preserve">Sí</x:t>
        </x:is>
      </x:c>
      <x:c r="G12" s="9" t="inlineStr">
        <x:is>
          <x:t xml:space="preserve">MODULAR_TIMBER</x:t>
        </x:is>
      </x:c>
      <x:c r="H12" s="15" t="n">
        <x:v>66</x:v>
      </x:c>
      <x:c r="I12" s="9" t="n">
        <x:v>2</x:v>
      </x:c>
      <x:c r="J12" s="9" t="n">
        <x:v>2</x:v>
      </x:c>
      <x:c r="K12" s="9" t="n">
        <x:v>1</x:v>
      </x:c>
      <x:c r="L12" s="9" t="n">
        <x:v>2</x:v>
      </x:c>
      <x:c r="M12" s="12" t="n">
        <x:v>2.45</x:v>
      </x:c>
      <x:c r="N12" s="9" t="inlineStr">
        <x:is>
          <x:t xml:space="preserve">Madera laminada y entramado ligero</x:t>
        </x:is>
      </x:c>
      <x:c r="O12" s="10" t="inlineStr">
        <x:is>
          <x:t xml:space="preserve">Madera estructural + OSB / terciado + barrera hidrófuga</x:t>
        </x:is>
      </x:c>
      <x:c r="P12" s="15" t="n">
        <x:v>120</x:v>
      </x:c>
      <x:c r="Q12" s="9" t="inlineStr">
        <x:is>
          <x:t xml:space="preserve">Lana mineral / lana de vidrio / PET reciclado</x:t>
        </x:is>
      </x:c>
      <x:c r="R12" s="15" t="n">
        <x:v>100</x:v>
      </x:c>
      <x:c r="S12" s="10" t="inlineStr">
        <x:is>
          <x:t xml:space="preserve">Cercha de madera + cubierta metálica o tejuela asfáltica</x:t>
        </x:is>
      </x:c>
      <x:c r="T12" s="15" t="n">
        <x:v>180</x:v>
      </x:c>
      <x:c r="U12" s="10" t="inlineStr">
        <x:is>
          <x:t xml:space="preserve">Lana mineral 80-140 mm + membrana</x:t>
        </x:is>
      </x:c>
      <x:c r="V12" s="9" t="inlineStr">
        <x:is>
          <x:t xml:space="preserve">Plataforma de madera estructural o radier</x:t>
        </x:is>
      </x:c>
      <x:c r="W12" s="10" t="inlineStr">
        <x:is>
          <x:t xml:space="preserve">Lana mineral 50-100 mm / barrera humedad</x:t>
        </x:is>
      </x:c>
      <x:c r="X12" s="9" t="inlineStr">
        <x:is>
          <x:t xml:space="preserve">PVC termopanel</x:t>
        </x:is>
      </x:c>
      <x:c r="Y12" s="9" t="inlineStr">
        <x:is>
          <x:t xml:space="preserve">Madera tratada</x:t>
        </x:is>
      </x:c>
      <x:c r="Z12" s="9" t="inlineStr">
        <x:is>
          <x:t xml:space="preserve">Yeso cartón</x:t>
        </x:is>
      </x:c>
      <x:c r="AA12" s="9" t="inlineStr">
        <x:is>
          <x:t xml:space="preserve">Radier</x:t>
        </x:is>
      </x:c>
      <x:c r="AB12" s="15" t="n">
        <x:v>6</x:v>
      </x:c>
      <x:c r="AC12" s="15" t="n">
        <x:v>8</x:v>
      </x:c>
      <x:c r="AD12" s="9" t="inlineStr">
        <x:is>
          <x:t xml:space="preserve">Cabaña permanente</x:t>
        </x:is>
      </x:c>
      <x:c r="AE12" s="9" t="inlineStr">
        <x:is>
          <x:t xml:space="preserve">Norte árido / desértico</x:t>
        </x:is>
      </x:c>
      <x:c r="AF12" s="10" t="inlineStr">
        <x:is>
          <x:t xml:space="preserve">Especificaciones técnicas de vivienda industrializada en madera (referencial)</x:t>
        </x:is>
      </x:c>
      <x:c r="AG12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2" s="10" t="inlineStr">
        <x:is>
          <x:t xml:space="preserve">Estructura: Madera laminada y entramado ligero; muros Madera estructural + OSB / terciado + barrera hidrófuga de 120 mm con aislación Lana mineral / lana de vidrio / PET reciclado (100 mm); cubierta Cercha de madera + cubierta metálica o tejuela asfáltica de 180 mm; ventanas PVC termopanel; revestimiento exterior Siding fibrocemento; interior Yeso cartón; fundación sugerida Radier.</x:t>
        </x:is>
      </x:c>
    </x:row>
    <x:row r="13" ht="32" customHeight="1">
      <x:c r="A13" s="9" t="inlineStr">
        <x:is>
          <x:t xml:space="preserve">MOD-0012</x:t>
        </x:is>
      </x:c>
      <x:c r="B13" s="9" t="inlineStr">
        <x:is>
          <x:t xml:space="preserve">EMP-003</x:t>
        </x:is>
      </x:c>
      <x:c r="C13" s="9" t="inlineStr">
        <x:is>
          <x:t xml:space="preserve">Bueno 96</x:t>
        </x:is>
      </x:c>
      <x:c r="D13" s="9" t="inlineStr">
        <x:is>
          <x:t xml:space="preserve">Bueno</x:t>
        </x:is>
      </x:c>
      <x:c r="E13" s="9" t="inlineStr">
        <x:is>
          <x:t xml:space="preserve">Lago</x:t>
        </x:is>
      </x:c>
      <x:c r="F13" s="9" t="inlineStr">
        <x:is>
          <x:t xml:space="preserve">Sí</x:t>
        </x:is>
      </x:c>
      <x:c r="G13" s="9" t="inlineStr">
        <x:is>
          <x:t xml:space="preserve">MODULAR_TIMBER</x:t>
        </x:is>
      </x:c>
      <x:c r="H13" s="15" t="n">
        <x:v>96</x:v>
      </x:c>
      <x:c r="I13" s="9" t="n">
        <x:v>3</x:v>
      </x:c>
      <x:c r="J13" s="9" t="n">
        <x:v>2</x:v>
      </x:c>
      <x:c r="K13" s="9" t="n">
        <x:v>1</x:v>
      </x:c>
      <x:c r="L13" s="9" t="n">
        <x:v>3</x:v>
      </x:c>
      <x:c r="M13" s="12" t="n">
        <x:v>2.4</x:v>
      </x:c>
      <x:c r="N13" s="9" t="inlineStr">
        <x:is>
          <x:t xml:space="preserve">Wood frame modular</x:t>
        </x:is>
      </x:c>
      <x:c r="O13" s="10" t="inlineStr">
        <x:is>
          <x:t xml:space="preserve">Madera estructural + OSB / terciado + barrera hidrófuga</x:t>
        </x:is>
      </x:c>
      <x:c r="P13" s="15" t="n">
        <x:v>120</x:v>
      </x:c>
      <x:c r="Q13" s="9" t="inlineStr">
        <x:is>
          <x:t xml:space="preserve">Lana mineral / lana de vidrio / PET reciclado</x:t>
        </x:is>
      </x:c>
      <x:c r="R13" s="15" t="n">
        <x:v>100</x:v>
      </x:c>
      <x:c r="S13" s="10" t="inlineStr">
        <x:is>
          <x:t xml:space="preserve">Cercha de madera + cubierta metálica o tejuela asfáltica</x:t>
        </x:is>
      </x:c>
      <x:c r="T13" s="15" t="n">
        <x:v>120</x:v>
      </x:c>
      <x:c r="U13" s="10" t="inlineStr">
        <x:is>
          <x:t xml:space="preserve">Lana mineral 80-140 mm + membrana</x:t>
        </x:is>
      </x:c>
      <x:c r="V13" s="9" t="inlineStr">
        <x:is>
          <x:t xml:space="preserve">Plataforma de madera estructural o radier</x:t>
        </x:is>
      </x:c>
      <x:c r="W13" s="10" t="inlineStr">
        <x:is>
          <x:t xml:space="preserve">Lana mineral 50-100 mm / barrera humedad</x:t>
        </x:is>
      </x:c>
      <x:c r="X13" s="9" t="inlineStr">
        <x:is>
          <x:t xml:space="preserve">Aluminio termopanel</x:t>
        </x:is>
      </x:c>
      <x:c r="Y13" s="9" t="inlineStr">
        <x:is>
          <x:t xml:space="preserve">Siding fibrocemento</x:t>
        </x:is>
      </x:c>
      <x:c r="Z13" s="9" t="inlineStr">
        <x:is>
          <x:t xml:space="preserve">Terciado pintado</x:t>
        </x:is>
      </x:c>
      <x:c r="AA13" s="9" t="inlineStr">
        <x:is>
          <x:t xml:space="preserve">Radier</x:t>
        </x:is>
      </x:c>
      <x:c r="AB13" s="15" t="n">
        <x:v>5</x:v>
      </x:c>
      <x:c r="AC13" s="15" t="n">
        <x:v>7</x:v>
      </x:c>
      <x:c r="AD13" s="9" t="inlineStr">
        <x:is>
          <x:t xml:space="preserve">Turismo / arriendo</x:t>
        </x:is>
      </x:c>
      <x:c r="AE13" s="9" t="inlineStr">
        <x:is>
          <x:t xml:space="preserve">Norte árido / desértico</x:t>
        </x:is>
      </x:c>
      <x:c r="AF13" s="10" t="inlineStr">
        <x:is>
          <x:t xml:space="preserve">Especificaciones técnicas de vivienda industrializada en madera (referencial)</x:t>
        </x:is>
      </x:c>
      <x:c r="AG13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3" s="10" t="inlineStr">
        <x:is>
          <x:t xml:space="preserve">Estructura: Entramado ligero en pino impregnado; muros Madera estructural + OSB / terciado + barrera hidrófuga de 120 mm con aislación Lana mineral / lana de vidrio / PET reciclado (100 mm); cubierta Cercha de madera + cubierta metálica o tejuela asfáltica de 120 mm; ventanas Aluminio termopanel; revestimiento exterior Siding fibrocemento; interior Yeso cartón; fundación sugerida Pilotes.</x:t>
        </x:is>
      </x:c>
    </x:row>
    <x:row r="14" ht="32" customHeight="1">
      <x:c r="A14" s="9" t="inlineStr">
        <x:is>
          <x:t xml:space="preserve">MOD-0013</x:t>
        </x:is>
      </x:c>
      <x:c r="B14" s="9" t="inlineStr">
        <x:is>
          <x:t xml:space="preserve">EMP-003</x:t>
        </x:is>
      </x:c>
      <x:c r="C14" s="9" t="inlineStr">
        <x:is>
          <x:t xml:space="preserve">Petrohué 104</x:t>
        </x:is>
      </x:c>
      <x:c r="D14" s="9" t="inlineStr">
        <x:is>
          <x:t xml:space="preserve">Petrohué</x:t>
        </x:is>
      </x:c>
      <x:c r="E14" s="9" t="inlineStr">
        <x:is>
          <x:t xml:space="preserve">Comuna</x:t>
        </x:is>
      </x:c>
      <x:c r="F14" s="9" t="inlineStr">
        <x:is>
          <x:t xml:space="preserve">Sí</x:t>
        </x:is>
      </x:c>
      <x:c r="G14" s="9" t="inlineStr">
        <x:is>
          <x:t xml:space="preserve">SIP</x:t>
        </x:is>
      </x:c>
      <x:c r="H14" s="15" t="n">
        <x:v>104</x:v>
      </x:c>
      <x:c r="I14" s="9" t="n">
        <x:v>3</x:v>
      </x:c>
      <x:c r="J14" s="9" t="n">
        <x:v>2</x:v>
      </x:c>
      <x:c r="K14" s="9" t="n">
        <x:v>1</x:v>
      </x:c>
      <x:c r="L14" s="9" t="n">
        <x:v>3</x:v>
      </x:c>
      <x:c r="M14" s="12" t="n">
        <x:v>2.5</x:v>
      </x:c>
      <x:c r="N14" s="9" t="inlineStr">
        <x:is>
          <x:t xml:space="preserve">Panel SIP estructural OSB/EPS/OSB</x:t>
        </x:is>
      </x:c>
      <x:c r="O14" s="10" t="inlineStr">
        <x:is>
          <x:t xml:space="preserve">2 placas OSB estructural + núcleo EPS alta densidad</x:t>
        </x:is>
      </x:c>
      <x:c r="P14" s="15" t="n">
        <x:v>130</x:v>
      </x:c>
      <x:c r="Q14" s="9" t="inlineStr">
        <x:is>
          <x:t xml:space="preserve">EPS alta densidad 15 kg/m³</x:t>
        </x:is>
      </x:c>
      <x:c r="R14" s="15" t="n">
        <x:v>68</x:v>
      </x:c>
      <x:c r="S14" s="10" t="inlineStr">
        <x:is>
          <x:t xml:space="preserve">Panel SIP de cubierta + membrana hidrófuga + hojalatería</x:t>
        </x:is>
      </x:c>
      <x:c r="T14" s="15" t="n">
        <x:v>130</x:v>
      </x:c>
      <x:c r="U14" s="10" t="inlineStr">
        <x:is>
          <x:t xml:space="preserve">EPS integrado + sellos PU</x:t>
        </x:is>
      </x:c>
      <x:c r="V14" s="9" t="inlineStr">
        <x:is>
          <x:t xml:space="preserve">Base entramado madera o radier con barrera de humedad</x:t>
        </x:is>
      </x:c>
      <x:c r="W14" s="10" t="inlineStr">
        <x:is>
          <x:t xml:space="preserve">Aislación bajo piso PET o lana mineral 50-100 mm</x:t>
        </x:is>
      </x:c>
      <x:c r="X14" s="9" t="inlineStr">
        <x:is>
          <x:t xml:space="preserve">Aluminio con termopanel</x:t>
        </x:is>
      </x:c>
      <x:c r="Y14" s="9" t="inlineStr">
        <x:is>
          <x:t xml:space="preserve">Siding fibrocemento</x:t>
        </x:is>
      </x:c>
      <x:c r="Z14" s="9" t="inlineStr">
        <x:is>
          <x:t xml:space="preserve">MDF en zonas secas</x:t>
        </x:is>
      </x:c>
      <x:c r="AA14" s="9" t="inlineStr">
        <x:is>
          <x:t xml:space="preserve">Fundación corrida</x:t>
        </x:is>
      </x:c>
      <x:c r="AB14" s="15" t="n">
        <x:v>3</x:v>
      </x:c>
      <x:c r="AC14" s="15" t="n">
        <x:v>11</x:v>
      </x:c>
      <x:c r="AD14" s="9" t="inlineStr">
        <x:is>
          <x:t xml:space="preserve">Primera vivienda</x:t>
        </x:is>
      </x:c>
      <x:c r="AE14" s="9" t="inlineStr">
        <x:is>
          <x:t xml:space="preserve">Norte árido / desértico</x:t>
        </x:is>
      </x:c>
      <x:c r="AF14" s="10" t="inlineStr">
        <x:is>
          <x:t xml:space="preserve">NCh3393:2016 (referencial para paneles SIP)</x:t>
        </x:is>
      </x:c>
      <x:c r="AG1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4" s="10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130 mm; ventanas Aluminio con termopanel; revestimiento exterior Siding fibrocemento; interior MDF en zonas secas; fundación sugerida Pilotes metálicos.</x:t>
        </x:is>
      </x:c>
    </x:row>
    <x:row r="15" ht="32" customHeight="1">
      <x:c r="A15" s="9" t="inlineStr">
        <x:is>
          <x:t xml:space="preserve">MOD-0014</x:t>
        </x:is>
      </x:c>
      <x:c r="B15" s="9" t="inlineStr">
        <x:is>
          <x:t xml:space="preserve">EMP-003</x:t>
        </x:is>
      </x:c>
      <x:c r="C15" s="9" t="inlineStr">
        <x:is>
          <x:t xml:space="preserve">Yelcho 156</x:t>
        </x:is>
      </x:c>
      <x:c r="D15" s="9" t="inlineStr">
        <x:is>
          <x:t xml:space="preserve">Yelcho</x:t>
        </x:is>
      </x:c>
      <x:c r="E15" s="9" t="inlineStr">
        <x:is>
          <x:t xml:space="preserve">Lago</x:t>
        </x:is>
      </x:c>
      <x:c r="F15" s="9" t="inlineStr">
        <x:is>
          <x:t xml:space="preserve">Sí</x:t>
        </x:is>
      </x:c>
      <x:c r="G15" s="9" t="inlineStr">
        <x:is>
          <x:t xml:space="preserve">HYBRID_MODULAR</x:t>
        </x:is>
      </x:c>
      <x:c r="H15" s="15" t="n">
        <x:v>156</x:v>
      </x:c>
      <x:c r="I15" s="9" t="n">
        <x:v>4</x:v>
      </x:c>
      <x:c r="J15" s="9" t="n">
        <x:v>3</x:v>
      </x:c>
      <x:c r="K15" s="9" t="n">
        <x:v>2</x:v>
      </x:c>
      <x:c r="L15" s="9" t="n">
        <x:v>4</x:v>
      </x:c>
      <x:c r="M15" s="12" t="n">
        <x:v>2.4</x:v>
      </x:c>
      <x:c r="N15" s="9" t="inlineStr">
        <x:is>
          <x:t xml:space="preserve">Módulos de acero + paneles SIP</x:t>
        </x:is>
      </x:c>
      <x:c r="O15" s="10" t="inlineStr">
        <x:is>
          <x:t xml:space="preserve">Acero galvanizado o madera laminada + panel SIP MgO/OSB</x:t>
        </x:is>
      </x:c>
      <x:c r="P15" s="15" t="n">
        <x:v>120</x:v>
      </x:c>
      <x:c r="Q15" s="9" t="inlineStr">
        <x:is>
          <x:t xml:space="preserve">Lana mineral 75-100 mm o EPS integrado</x:t>
        </x:is>
      </x:c>
      <x:c r="R15" s="15" t="n">
        <x:v>75</x:v>
      </x:c>
      <x:c r="S15" s="10" t="inlineStr">
        <x:is>
          <x:t xml:space="preserve">Módulo volumétrico con cubierta panelizada</x:t>
        </x:is>
      </x:c>
      <x:c r="T15" s="15" t="n">
        <x:v>160</x:v>
      </x:c>
      <x:c r="U15" s="10" t="inlineStr">
        <x:is>
          <x:t xml:space="preserve">Lana mineral / EPS / barrera vapor</x:t>
        </x:is>
      </x:c>
      <x:c r="V15" s="9" t="inlineStr">
        <x:is>
          <x:t xml:space="preserve">Bastidor metálico o madera laminada</x:t>
        </x:is>
      </x:c>
      <x:c r="W15" s="10" t="inlineStr">
        <x:is>
          <x:t xml:space="preserve">Lana mineral 80-100 mm + fibrocemento</x:t>
        </x:is>
      </x:c>
      <x:c r="X15" s="9" t="inlineStr">
        <x:is>
          <x:t xml:space="preserve">PVC termopanel</x:t>
        </x:is>
      </x:c>
      <x:c r="Y15" s="9" t="inlineStr">
        <x:is>
          <x:t xml:space="preserve">Plancha metálica</x:t>
        </x:is>
      </x:c>
      <x:c r="Z15" s="9" t="inlineStr">
        <x:is>
          <x:t xml:space="preserve">Yeso cartón pintado</x:t>
        </x:is>
      </x:c>
      <x:c r="AA15" s="9" t="inlineStr">
        <x:is>
          <x:t xml:space="preserve">Pilotes ajustables</x:t>
        </x:is>
      </x:c>
      <x:c r="AB15" s="15" t="n">
        <x:v>5</x:v>
      </x:c>
      <x:c r="AC15" s="15" t="n">
        <x:v>9</x:v>
      </x:c>
      <x:c r="AD15" s="9" t="inlineStr">
        <x:is>
          <x:t xml:space="preserve">Parcela</x:t>
        </x:is>
      </x:c>
      <x:c r="AE15" s="9" t="inlineStr">
        <x:is>
          <x:t xml:space="preserve">Norte árido / desértico</x:t>
        </x:is>
      </x:c>
      <x:c r="AF15" s="10" t="inlineStr">
        <x:is>
          <x:t xml:space="preserve">Criterios de prefabricación modular y coordinación BIM (referencial)</x:t>
        </x:is>
      </x:c>
      <x:c r="AG15" s="10" t="inlineStr">
        <x:is>
          <x:t xml:space="preserve">https://modul.cl/construccion-de-casas-prefabricadas-modulares/ | https://tecnofasthome.cl/casas-modulares/</x:t>
        </x:is>
      </x:c>
      <x:c r="AH15" s="10" t="inlineStr">
        <x:is>
          <x:t xml:space="preserve">Estructura: Módulos de acero + paneles SIP; muros Acero galvanizado o madera laminada + panel SIP MgO/OSB de 120 mm con aislación Lana mineral 75-100 mm o EPS integrado (75 mm); cubierta Módulo volumétrico con cubierta panelizada de 160 mm; ventanas PVC termopanel; revestimiento exterior Fibrocemento tipo siding; interior Melamina blanca; fundación sugerida Pilotes ajustables.</x:t>
        </x:is>
      </x:c>
    </x:row>
    <x:row r="16" ht="32" customHeight="1">
      <x:c r="A16" s="9" t="inlineStr">
        <x:is>
          <x:t xml:space="preserve">MOD-0015</x:t>
        </x:is>
      </x:c>
      <x:c r="B16" s="9" t="inlineStr">
        <x:is>
          <x:t xml:space="preserve">EMP-003</x:t>
        </x:is>
      </x:c>
      <x:c r="C16" s="9" t="inlineStr">
        <x:is>
          <x:t xml:space="preserve">Palena 176</x:t>
        </x:is>
      </x:c>
      <x:c r="D16" s="9" t="inlineStr">
        <x:is>
          <x:t xml:space="preserve">Palena</x:t>
        </x:is>
      </x:c>
      <x:c r="E16" s="9" t="inlineStr">
        <x:is>
          <x:t xml:space="preserve">Río</x:t>
        </x:is>
      </x:c>
      <x:c r="F16" s="9" t="inlineStr">
        <x:is>
          <x:t xml:space="preserve">Sí</x:t>
        </x:is>
      </x:c>
      <x:c r="G16" s="9" t="inlineStr">
        <x:is>
          <x:t xml:space="preserve">STEEL_FRAME</x:t>
        </x:is>
      </x:c>
      <x:c r="H16" s="15" t="n">
        <x:v>176</x:v>
      </x:c>
      <x:c r="I16" s="9" t="n">
        <x:v>4</x:v>
      </x:c>
      <x:c r="J16" s="9" t="n">
        <x:v>3</x:v>
      </x:c>
      <x:c r="K16" s="9" t="n">
        <x:v>1</x:v>
      </x:c>
      <x:c r="L16" s="9" t="n">
        <x:v>4</x:v>
      </x:c>
      <x:c r="M16" s="12" t="n">
        <x:v>2.45</x:v>
      </x:c>
      <x:c r="N16" s="9" t="inlineStr">
        <x:is>
          <x:t xml:space="preserve">Perfilería de acero galvanizado liviano</x:t>
        </x:is>
      </x:c>
      <x:c r="O16" s="10" t="inlineStr">
        <x:is>
          <x:t xml:space="preserve">Acero galvanizado + placa OSB/fibrocemento + cámara técnica</x:t>
        </x:is>
      </x:c>
      <x:c r="P16" s="15" t="n">
        <x:v>140</x:v>
      </x:c>
      <x:c r="Q16" s="9" t="inlineStr">
        <x:is>
          <x:t xml:space="preserve">Lana mineral o lana de roca / PET / EPS según zona térmica</x:t>
        </x:is>
      </x:c>
      <x:c r="R16" s="15" t="n">
        <x:v>80</x:v>
      </x:c>
      <x:c r="S16" s="10" t="inlineStr">
        <x:is>
          <x:t xml:space="preserve">Cerchas o paneles steel frame + cubierta metálica</x:t>
        </x:is>
      </x:c>
      <x:c r="T16" s="15" t="n">
        <x:v>120</x:v>
      </x:c>
      <x:c r="U16" s="10" t="inlineStr">
        <x:is>
          <x:t xml:space="preserve">Lana mineral / lana de roca + barrera de vapor</x:t>
        </x:is>
      </x:c>
      <x:c r="V16" s="9" t="inlineStr">
        <x:is>
          <x:t xml:space="preserve">Envigado metálico o plataforma estructural</x:t>
        </x:is>
      </x:c>
      <x:c r="W16" s="10" t="inlineStr">
        <x:is>
          <x:t xml:space="preserve">Lana mineral 50-100 mm + placas estructurales</x:t>
        </x:is>
      </x:c>
      <x:c r="X16" s="9" t="inlineStr">
        <x:is>
          <x:t xml:space="preserve">Aluminio RPT termopanel</x:t>
        </x:is>
      </x:c>
      <x:c r="Y16" s="9" t="inlineStr">
        <x:is>
          <x:t xml:space="preserve">Siding fibrocemento</x:t>
        </x:is>
      </x:c>
      <x:c r="Z16" s="9" t="inlineStr">
        <x:is>
          <x:t xml:space="preserve">Yeso cartón</x:t>
        </x:is>
      </x:c>
      <x:c r="AA16" s="9" t="inlineStr">
        <x:is>
          <x:t xml:space="preserve">Pilotes</x:t>
        </x:is>
      </x:c>
      <x:c r="AB16" s="15" t="n">
        <x:v>8</x:v>
      </x:c>
      <x:c r="AC16" s="15" t="n">
        <x:v>10</x:v>
      </x:c>
      <x:c r="AD16" s="9" t="inlineStr">
        <x:is>
          <x:t xml:space="preserve">Primera vivienda</x:t>
        </x:is>
      </x:c>
      <x:c r="AE16" s="9" t="inlineStr">
        <x:is>
          <x:t xml:space="preserve">Norte árido / desértico</x:t>
        </x:is>
      </x:c>
      <x:c r="AF16" s="10" t="inlineStr">
        <x:is>
          <x:t xml:space="preserve">Criterio térmico referencial OGUC / reglamentación térmica vigente</x:t>
        </x:is>
      </x:c>
      <x:c r="AG16" s="10" t="inlineStr">
        <x:is>
          <x:t xml:space="preserve">https://www.steelframe.cl/ | https://vhaceros.cl/blog/steel-framing-principios-estructurales-y-ventajas-en-la-construccion-chilena/</x:t>
        </x:is>
      </x:c>
      <x:c r="AH16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(80 mm); cubierta Cerchas o paneles steel frame + cubierta metálica de 120 mm; ventanas PVC termopanel; revestimiento exterior Estuco sobre placa cementicia; interior Yeso cartón; fundación sugerida Radier reforzado.</x:t>
        </x:is>
      </x:c>
    </x:row>
    <x:row r="17" ht="32" customHeight="1">
      <x:c r="A17" s="9" t="inlineStr">
        <x:is>
          <x:t xml:space="preserve">MOD-0016</x:t>
        </x:is>
      </x:c>
      <x:c r="B17" s="9" t="inlineStr">
        <x:is>
          <x:t xml:space="preserve">EMP-004</x:t>
        </x:is>
      </x:c>
      <x:c r="C17" s="9" t="inlineStr">
        <x:is>
          <x:t xml:space="preserve">Baker 42</x:t>
        </x:is>
      </x:c>
      <x:c r="D17" s="9" t="inlineStr">
        <x:is>
          <x:t xml:space="preserve">Baker</x:t>
        </x:is>
      </x:c>
      <x:c r="E17" s="9" t="inlineStr">
        <x:is>
          <x:t xml:space="preserve">Volcán</x:t>
        </x:is>
      </x:c>
      <x:c r="F17" s="9" t="inlineStr">
        <x:is>
          <x:t xml:space="preserve">Sí</x:t>
        </x:is>
      </x:c>
      <x:c r="G17" s="9" t="inlineStr">
        <x:is>
          <x:t xml:space="preserve">CONTAINER</x:t>
        </x:is>
      </x:c>
      <x:c r="H17" s="15" t="n">
        <x:v>42</x:v>
      </x:c>
      <x:c r="I17" s="9" t="n">
        <x:v>1</x:v>
      </x:c>
      <x:c r="J17" s="9" t="n">
        <x:v>1</x:v>
      </x:c>
      <x:c r="K17" s="9" t="n">
        <x:v>1</x:v>
      </x:c>
      <x:c r="L17" s="9" t="n">
        <x:v>1</x:v>
      </x:c>
      <x:c r="M17" s="12" t="n">
        <x:v>2.35</x:v>
      </x:c>
      <x:c r="N17" s="9" t="inlineStr">
        <x:is>
          <x:t xml:space="preserve">Módulo habitacional de acero galvanizado / corten</x:t>
        </x:is>
      </x:c>
      <x:c r="O17" s="10" t="inlineStr">
        <x:is>
          <x:t xml:space="preserve">Estructura container + subestructura interior + revestimiento</x:t>
        </x:is>
      </x:c>
      <x:c r="P17" s="15" t="n">
        <x:v>140</x:v>
      </x:c>
      <x:c r="Q17" s="9" t="inlineStr">
        <x:is>
          <x:t xml:space="preserve">Poliuretano proyectado o EPS/Aislapol 40-60 mm</x:t>
        </x:is>
      </x:c>
      <x:c r="R17" s="15" t="n">
        <x:v>50</x:v>
      </x:c>
      <x:c r="S17" s="10" t="inlineStr">
        <x:is>
          <x:t xml:space="preserve">Cubierta metálica container + sobretecho ventilado opcional</x:t>
        </x:is>
      </x:c>
      <x:c r="T17" s="15" t="n">
        <x:v>120</x:v>
      </x:c>
      <x:c r="U17" s="10" t="inlineStr">
        <x:is>
          <x:t xml:space="preserve">Poliuretano / EPS + barrera anticondensación</x:t>
        </x:is>
      </x:c>
      <x:c r="V17" s="9" t="inlineStr">
        <x:is>
          <x:t xml:space="preserve">Piso terciado 18 mm o base original acondicionada + vinílico</x:t>
        </x:is>
      </x:c>
      <x:c r="W17" s="10" t="inlineStr">
        <x:is>
          <x:t xml:space="preserve">Aislación bajo piso 40-80 mm</x:t>
        </x:is>
      </x:c>
      <x:c r="X17" s="9" t="inlineStr">
        <x:is>
          <x:t xml:space="preserve">Aluminio termopanel</x:t>
        </x:is>
      </x:c>
      <x:c r="Y17" s="9" t="inlineStr">
        <x:is>
          <x:t xml:space="preserve">Plancha metálica prepintada</x:t>
        </x:is>
      </x:c>
      <x:c r="Z17" s="9" t="inlineStr">
        <x:is>
          <x:t xml:space="preserve">Melamina</x:t>
        </x:is>
      </x:c>
      <x:c r="AA17" s="9" t="inlineStr">
        <x:is>
          <x:t xml:space="preserve">Radier</x:t>
        </x:is>
      </x:c>
      <x:c r="AB17" s="15" t="n">
        <x:v>3</x:v>
      </x:c>
      <x:c r="AC17" s="15" t="n">
        <x:v>7</x:v>
      </x:c>
      <x:c r="AD17" s="9" t="inlineStr">
        <x:is>
          <x:t xml:space="preserve">Cabaña permanente</x:t>
        </x:is>
      </x:c>
      <x:c r="AE17" s="9" t="inlineStr">
        <x:is>
          <x:t xml:space="preserve">Norte árido / desértico</x:t>
        </x:is>
      </x:c>
      <x:c r="AF17" s="10" t="inlineStr">
        <x:is>
          <x:t xml:space="preserve">Criterios de aislación, ventilación y tratamiento anticorrosivo (referencial)</x:t>
        </x:is>
      </x:c>
      <x:c r="AG17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7" s="10" t="inlineStr">
        <x:is>
          <x:t xml:space="preserve">Estructura: Contenedor marítimo acondicionado; muros Estructura container + subestructura interior + revestimiento de 140 mm con aislación Poliuretano proyectado o EPS/Aislapol 40-60 mm (50 mm); cubierta Cubierta metálica container + sobretecho ventilado opcional de 120 mm; ventanas PVC termopanel; revestimiento exterior Madera tratada ventilada; interior Yeso cartón; fundación sugerida Radier.</x:t>
        </x:is>
      </x:c>
    </x:row>
    <x:row r="18" ht="32" customHeight="1">
      <x:c r="A18" s="9" t="inlineStr">
        <x:is>
          <x:t xml:space="preserve">MOD-0017</x:t>
        </x:is>
      </x:c>
      <x:c r="B18" s="9" t="inlineStr">
        <x:is>
          <x:t xml:space="preserve">EMP-004</x:t>
        </x:is>
      </x:c>
      <x:c r="C18" s="9" t="inlineStr">
        <x:is>
          <x:t xml:space="preserve">Pascua 112</x:t>
        </x:is>
      </x:c>
      <x:c r="D18" s="9" t="inlineStr">
        <x:is>
          <x:t xml:space="preserve">Pascua</x:t>
        </x:is>
      </x:c>
      <x:c r="E18" s="9" t="inlineStr">
        <x:is>
          <x:t xml:space="preserve">Comuna</x:t>
        </x:is>
      </x:c>
      <x:c r="F18" s="9" t="inlineStr">
        <x:is>
          <x:t xml:space="preserve">Sí</x:t>
        </x:is>
      </x:c>
      <x:c r="G18" s="9" t="inlineStr">
        <x:is>
          <x:t xml:space="preserve">CONTAINER</x:t>
        </x:is>
      </x:c>
      <x:c r="H18" s="15" t="n">
        <x:v>112</x:v>
      </x:c>
      <x:c r="I18" s="9" t="n">
        <x:v>3</x:v>
      </x:c>
      <x:c r="J18" s="9" t="n">
        <x:v>2</x:v>
      </x:c>
      <x:c r="K18" s="9" t="n">
        <x:v>1</x:v>
      </x:c>
      <x:c r="L18" s="9" t="n">
        <x:v>3</x:v>
      </x:c>
      <x:c r="M18" s="12" t="n">
        <x:v>2.5</x:v>
      </x:c>
      <x:c r="N18" s="9" t="inlineStr">
        <x:is>
          <x:t xml:space="preserve">Contenedor marítimo acondicionado</x:t>
        </x:is>
      </x:c>
      <x:c r="O18" s="10" t="inlineStr">
        <x:is>
          <x:t xml:space="preserve">Estructura container + subestructura interior + revestimiento</x:t>
        </x:is>
      </x:c>
      <x:c r="P18" s="15" t="n">
        <x:v>140</x:v>
      </x:c>
      <x:c r="Q18" s="9" t="inlineStr">
        <x:is>
          <x:t xml:space="preserve">Poliuretano proyectado o EPS/Aislapol 40-60 mm</x:t>
        </x:is>
      </x:c>
      <x:c r="R18" s="15" t="n">
        <x:v>50</x:v>
      </x:c>
      <x:c r="S18" s="10" t="inlineStr">
        <x:is>
          <x:t xml:space="preserve">Cubierta metálica container + sobretecho ventilado opcional</x:t>
        </x:is>
      </x:c>
      <x:c r="T18" s="15" t="n">
        <x:v>100</x:v>
      </x:c>
      <x:c r="U18" s="10" t="inlineStr">
        <x:is>
          <x:t xml:space="preserve">Poliuretano / EPS + barrera anticondensación</x:t>
        </x:is>
      </x:c>
      <x:c r="V18" s="9" t="inlineStr">
        <x:is>
          <x:t xml:space="preserve">Piso terciado 18 mm o base original acondicionada + vinílico</x:t>
        </x:is>
      </x:c>
      <x:c r="W18" s="10" t="inlineStr">
        <x:is>
          <x:t xml:space="preserve">Aislación bajo piso 40-80 mm</x:t>
        </x:is>
      </x:c>
      <x:c r="X18" s="9" t="inlineStr">
        <x:is>
          <x:t xml:space="preserve">Aluminio termopanel</x:t>
        </x:is>
      </x:c>
      <x:c r="Y18" s="9" t="inlineStr">
        <x:is>
          <x:t xml:space="preserve">Madera tratada ventilada</x:t>
        </x:is>
      </x:c>
      <x:c r="Z18" s="9" t="inlineStr">
        <x:is>
          <x:t xml:space="preserve">Madera pintada</x:t>
        </x:is>
      </x:c>
      <x:c r="AA18" s="9" t="inlineStr">
        <x:is>
          <x:t xml:space="preserve">Dados de hormigón</x:t>
        </x:is>
      </x:c>
      <x:c r="AB18" s="15" t="n">
        <x:v>3</x:v>
      </x:c>
      <x:c r="AC18" s="15" t="n">
        <x:v>2</x:v>
      </x:c>
      <x:c r="AD18" s="9" t="inlineStr">
        <x:is>
          <x:t xml:space="preserve">Primera vivienda</x:t>
        </x:is>
      </x:c>
      <x:c r="AE18" s="9" t="inlineStr">
        <x:is>
          <x:t xml:space="preserve">Norte árido / desértico</x:t>
        </x:is>
      </x:c>
      <x:c r="AF18" s="10" t="inlineStr">
        <x:is>
          <x:t xml:space="preserve">Criterios de aislación, ventilación y tratamiento anticorrosivo (referencial)</x:t>
        </x:is>
      </x:c>
      <x:c r="AG18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8" s="10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100 mm; ventanas PVC termopanel; revestimiento exterior Madera tratada ventilada; interior Madera pintada; fundación sugerida Dados de hormigón.</x:t>
        </x:is>
      </x:c>
    </x:row>
    <x:row r="19" ht="32" customHeight="1">
      <x:c r="A19" s="9" t="inlineStr">
        <x:is>
          <x:t xml:space="preserve">MOD-0018</x:t>
        </x:is>
      </x:c>
      <x:c r="B19" s="9" t="inlineStr">
        <x:is>
          <x:t xml:space="preserve">EMP-004</x:t>
        </x:is>
      </x:c>
      <x:c r="C19" s="9" t="inlineStr">
        <x:is>
          <x:t xml:space="preserve">Aconcagua 80</x:t>
        </x:is>
      </x:c>
      <x:c r="D19" s="9" t="inlineStr">
        <x:is>
          <x:t xml:space="preserve">Aconcagua</x:t>
        </x:is>
      </x:c>
      <x:c r="E19" s="9" t="inlineStr">
        <x:is>
          <x:t xml:space="preserve">Comuna</x:t>
        </x:is>
      </x:c>
      <x:c r="F19" s="9" t="inlineStr">
        <x:is>
          <x:t xml:space="preserve">Sí</x:t>
        </x:is>
      </x:c>
      <x:c r="G19" s="9" t="inlineStr">
        <x:is>
          <x:t xml:space="preserve">HYBRID_MODULAR</x:t>
        </x:is>
      </x:c>
      <x:c r="H19" s="15" t="n">
        <x:v>80</x:v>
      </x:c>
      <x:c r="I19" s="9" t="n">
        <x:v>3</x:v>
      </x:c>
      <x:c r="J19" s="9" t="n">
        <x:v>2</x:v>
      </x:c>
      <x:c r="K19" s="9" t="n">
        <x:v>1</x:v>
      </x:c>
      <x:c r="L19" s="9" t="n">
        <x:v>2</x:v>
      </x:c>
      <x:c r="M19" s="12" t="n">
        <x:v>2.5</x:v>
      </x:c>
      <x:c r="N19" s="9" t="inlineStr">
        <x:is>
          <x:t xml:space="preserve">Módulos de acero + paneles SIP</x:t>
        </x:is>
      </x:c>
      <x:c r="O19" s="10" t="inlineStr">
        <x:is>
          <x:t xml:space="preserve">Acero galvanizado o madera laminada + panel SIP MgO/OSB</x:t>
        </x:is>
      </x:c>
      <x:c r="P19" s="15" t="n">
        <x:v>140</x:v>
      </x:c>
      <x:c r="Q19" s="9" t="inlineStr">
        <x:is>
          <x:t xml:space="preserve">Lana mineral 75-100 mm o EPS integrado</x:t>
        </x:is>
      </x:c>
      <x:c r="R19" s="15" t="n">
        <x:v>100</x:v>
      </x:c>
      <x:c r="S19" s="10" t="inlineStr">
        <x:is>
          <x:t xml:space="preserve">Módulo volumétrico con cubierta panelizada</x:t>
        </x:is>
      </x:c>
      <x:c r="T19" s="15" t="n">
        <x:v>180</x:v>
      </x:c>
      <x:c r="U19" s="10" t="inlineStr">
        <x:is>
          <x:t xml:space="preserve">Lana mineral / EPS / barrera vapor</x:t>
        </x:is>
      </x:c>
      <x:c r="V19" s="9" t="inlineStr">
        <x:is>
          <x:t xml:space="preserve">Bastidor metálico o madera laminada</x:t>
        </x:is>
      </x:c>
      <x:c r="W19" s="10" t="inlineStr">
        <x:is>
          <x:t xml:space="preserve">Lana mineral 80-100 mm + fibrocemento</x:t>
        </x:is>
      </x:c>
      <x:c r="X19" s="9" t="inlineStr">
        <x:is>
          <x:t xml:space="preserve">PVC termopanel</x:t>
        </x:is>
      </x:c>
      <x:c r="Y19" s="9" t="inlineStr">
        <x:is>
          <x:t xml:space="preserve">Plancha metálica</x:t>
        </x:is>
      </x:c>
      <x:c r="Z19" s="9" t="inlineStr">
        <x:is>
          <x:t xml:space="preserve">Yeso cartón RH</x:t>
        </x:is>
      </x:c>
      <x:c r="AA19" s="9" t="inlineStr">
        <x:is>
          <x:t xml:space="preserve">Dados de hormigón</x:t>
        </x:is>
      </x:c>
      <x:c r="AB19" s="15" t="n">
        <x:v>9</x:v>
      </x:c>
      <x:c r="AC19" s="15" t="n">
        <x:v>8</x:v>
      </x:c>
      <x:c r="AD19" s="9" t="inlineStr">
        <x:is>
          <x:t xml:space="preserve">Turismo / arriendo</x:t>
        </x:is>
      </x:c>
      <x:c r="AE19" s="9" t="inlineStr">
        <x:is>
          <x:t xml:space="preserve">Norte árido / desértico</x:t>
        </x:is>
      </x:c>
      <x:c r="AF19" s="10" t="inlineStr">
        <x:is>
          <x:t xml:space="preserve">Criterios de prefabricación modular y coordinación BIM (referencial)</x:t>
        </x:is>
      </x:c>
      <x:c r="AG19" s="10" t="inlineStr">
        <x:is>
          <x:t xml:space="preserve">https://modul.cl/construccion-de-casas-prefabricadas-modulares/ | https://tecnofasthome.cl/casas-modulares/</x:t>
        </x:is>
      </x:c>
      <x:c r="AH19" s="10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180 mm; ventanas Aluminio termopanel; revestimiento exterior Plancha metálica; interior Yeso cartón RH; fundación sugerida Radier.</x:t>
        </x:is>
      </x:c>
    </x:row>
    <x:row r="20" ht="32" customHeight="1">
      <x:c r="A20" s="9" t="inlineStr">
        <x:is>
          <x:t xml:space="preserve">MOD-0019</x:t>
        </x:is>
      </x:c>
      <x:c r="B20" s="9" t="inlineStr">
        <x:is>
          <x:t xml:space="preserve">EMP-004</x:t>
        </x:is>
      </x:c>
      <x:c r="C20" s="9" t="inlineStr">
        <x:is>
          <x:t xml:space="preserve">Choapa 132</x:t>
        </x:is>
      </x:c>
      <x:c r="D20" s="9" t="inlineStr">
        <x:is>
          <x:t xml:space="preserve">Choapa</x:t>
        </x:is>
      </x:c>
      <x:c r="E20" s="9" t="inlineStr">
        <x:is>
          <x:t xml:space="preserve">Ciudad</x:t>
        </x:is>
      </x:c>
      <x:c r="F20" s="9" t="inlineStr">
        <x:is>
          <x:t xml:space="preserve">Sí</x:t>
        </x:is>
      </x:c>
      <x:c r="G20" s="9" t="inlineStr">
        <x:is>
          <x:t xml:space="preserve">SIP</x:t>
        </x:is>
      </x:c>
      <x:c r="H20" s="15" t="n">
        <x:v>132</x:v>
      </x:c>
      <x:c r="I20" s="9" t="n">
        <x:v>3</x:v>
      </x:c>
      <x:c r="J20" s="9" t="n">
        <x:v>2</x:v>
      </x:c>
      <x:c r="K20" s="9" t="n">
        <x:v>2</x:v>
      </x:c>
      <x:c r="L20" s="9" t="n">
        <x:v>3</x:v>
      </x:c>
      <x:c r="M20" s="12" t="n">
        <x:v>2.45</x:v>
      </x:c>
      <x:c r="N20" s="9" t="inlineStr">
        <x:is>
          <x:t xml:space="preserve">Panel SIP estructural con uniones en pino seco</x:t>
        </x:is>
      </x:c>
      <x:c r="O20" s="10" t="inlineStr">
        <x:is>
          <x:t xml:space="preserve">2 placas OSB estructural + núcleo EPS alta densidad</x:t>
        </x:is>
      </x:c>
      <x:c r="P20" s="15" t="n">
        <x:v>130</x:v>
      </x:c>
      <x:c r="Q20" s="9" t="inlineStr">
        <x:is>
          <x:t xml:space="preserve">EPS alta densidad 15 kg/m³</x:t>
        </x:is>
      </x:c>
      <x:c r="R20" s="15" t="n">
        <x:v>68</x:v>
      </x:c>
      <x:c r="S20" s="10" t="inlineStr">
        <x:is>
          <x:t xml:space="preserve">Panel SIP de cubierta + membrana hidrófuga + hojalatería</x:t>
        </x:is>
      </x:c>
      <x:c r="T20" s="15" t="n">
        <x:v>130</x:v>
      </x:c>
      <x:c r="U20" s="10" t="inlineStr">
        <x:is>
          <x:t xml:space="preserve">EPS integrado + sellos PU</x:t>
        </x:is>
      </x:c>
      <x:c r="V20" s="9" t="inlineStr">
        <x:is>
          <x:t xml:space="preserve">Base entramado madera o radier con barrera de humedad</x:t>
        </x:is>
      </x:c>
      <x:c r="W20" s="10" t="inlineStr">
        <x:is>
          <x:t xml:space="preserve">Aislación bajo piso PET o lana mineral 50-100 mm</x:t>
        </x:is>
      </x:c>
      <x:c r="X20" s="9" t="inlineStr">
        <x:is>
          <x:t xml:space="preserve">PVC termopanel</x:t>
        </x:is>
      </x:c>
      <x:c r="Y20" s="9" t="inlineStr">
        <x:is>
          <x:t xml:space="preserve">Plancha metálica prepintada</x:t>
        </x:is>
      </x:c>
      <x:c r="Z20" s="9" t="inlineStr">
        <x:is>
          <x:t xml:space="preserve">Yeso cartón pintado</x:t>
        </x:is>
      </x:c>
      <x:c r="AA20" s="9" t="inlineStr">
        <x:is>
          <x:t xml:space="preserve">Radier afinado</x:t>
        </x:is>
      </x:c>
      <x:c r="AB20" s="15" t="n">
        <x:v>5</x:v>
      </x:c>
      <x:c r="AC20" s="15" t="n">
        <x:v>11</x:v>
      </x:c>
      <x:c r="AD20" s="9" t="inlineStr">
        <x:is>
          <x:t xml:space="preserve">Cabaña permanente</x:t>
        </x:is>
      </x:c>
      <x:c r="AE20" s="9" t="inlineStr">
        <x:is>
          <x:t xml:space="preserve">Norte árido / desértico</x:t>
        </x:is>
      </x:c>
      <x:c r="AF20" s="10" t="inlineStr">
        <x:is>
          <x:t xml:space="preserve">NCh3393:2016 (referencial para paneles SIP)</x:t>
        </x:is>
      </x:c>
      <x:c r="AG20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" s="10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130 mm; ventanas Aluminio con termopanel; revestimiento exterior Siding fibrocemento; interior MDF en zonas secas; fundación sugerida Sobrecimientos y radier.</x:t>
        </x:is>
      </x:c>
    </x:row>
    <x:row r="21" ht="32" customHeight="1">
      <x:c r="A21" s="9" t="inlineStr">
        <x:is>
          <x:t xml:space="preserve">MOD-0020</x:t>
        </x:is>
      </x:c>
      <x:c r="B21" s="9" t="inlineStr">
        <x:is>
          <x:t xml:space="preserve">EMP-004</x:t>
        </x:is>
      </x:c>
      <x:c r="C21" s="9" t="inlineStr">
        <x:is>
          <x:t xml:space="preserve">Elqui 176</x:t>
        </x:is>
      </x:c>
      <x:c r="D21" s="9" t="inlineStr">
        <x:is>
          <x:t xml:space="preserve">Elqui</x:t>
        </x:is>
      </x:c>
      <x:c r="E21" s="9" t="inlineStr">
        <x:is>
          <x:t xml:space="preserve">Ciudad</x:t>
        </x:is>
      </x:c>
      <x:c r="F21" s="9" t="inlineStr">
        <x:is>
          <x:t xml:space="preserve">Sí</x:t>
        </x:is>
      </x:c>
      <x:c r="G21" s="9" t="inlineStr">
        <x:is>
          <x:t xml:space="preserve">STEEL_FRAME</x:t>
        </x:is>
      </x:c>
      <x:c r="H21" s="15" t="n">
        <x:v>176</x:v>
      </x:c>
      <x:c r="I21" s="9" t="n">
        <x:v>4</x:v>
      </x:c>
      <x:c r="J21" s="9" t="n">
        <x:v>3</x:v>
      </x:c>
      <x:c r="K21" s="9" t="n">
        <x:v>1</x:v>
      </x:c>
      <x:c r="L21" s="9" t="n">
        <x:v>4</x:v>
      </x:c>
      <x:c r="M21" s="12" t="n">
        <x:v>2.5</x:v>
      </x:c>
      <x:c r="N21" s="9" t="inlineStr">
        <x:is>
          <x:t xml:space="preserve">Perfilería de acero galvanizado liviano</x:t>
        </x:is>
      </x:c>
      <x:c r="O21" s="10" t="inlineStr">
        <x:is>
          <x:t xml:space="preserve">Acero galvanizado + placa OSB/fibrocemento + cámara técnica</x:t>
        </x:is>
      </x:c>
      <x:c r="P21" s="15" t="n">
        <x:v>160</x:v>
      </x:c>
      <x:c r="Q21" s="9" t="inlineStr">
        <x:is>
          <x:t xml:space="preserve">Lana mineral o lana de roca / PET / EPS según zona térmica</x:t>
        </x:is>
      </x:c>
      <x:c r="R21" s="15" t="n">
        <x:v>60</x:v>
      </x:c>
      <x:c r="S21" s="10" t="inlineStr">
        <x:is>
          <x:t xml:space="preserve">Cerchas o paneles steel frame + cubierta metálica</x:t>
        </x:is>
      </x:c>
      <x:c r="T21" s="15" t="n">
        <x:v>180</x:v>
      </x:c>
      <x:c r="U21" s="10" t="inlineStr">
        <x:is>
          <x:t xml:space="preserve">Lana mineral / lana de roca + barrera de vapor</x:t>
        </x:is>
      </x:c>
      <x:c r="V21" s="9" t="inlineStr">
        <x:is>
          <x:t xml:space="preserve">Envigado metálico o plataforma estructural</x:t>
        </x:is>
      </x:c>
      <x:c r="W21" s="10" t="inlineStr">
        <x:is>
          <x:t xml:space="preserve">Lana mineral 50-100 mm + placas estructurales</x:t>
        </x:is>
      </x:c>
      <x:c r="X21" s="9" t="inlineStr">
        <x:is>
          <x:t xml:space="preserve">Aluminio RPT termopanel</x:t>
        </x:is>
      </x:c>
      <x:c r="Y21" s="9" t="inlineStr">
        <x:is>
          <x:t xml:space="preserve">Estuco sobre placa cementicia</x:t>
        </x:is>
      </x:c>
      <x:c r="Z21" s="9" t="inlineStr">
        <x:is>
          <x:t xml:space="preserve">Yeso cartón RF</x:t>
        </x:is>
      </x:c>
      <x:c r="AA21" s="9" t="inlineStr">
        <x:is>
          <x:t xml:space="preserve">Pilotes</x:t>
        </x:is>
      </x:c>
      <x:c r="AB21" s="15" t="n">
        <x:v>6</x:v>
      </x:c>
      <x:c r="AC21" s="15" t="n">
        <x:v>8</x:v>
      </x:c>
      <x:c r="AD21" s="9" t="inlineStr">
        <x:is>
          <x:t xml:space="preserve">Primera vivienda</x:t>
        </x:is>
      </x:c>
      <x:c r="AE21" s="9" t="inlineStr">
        <x:is>
          <x:t xml:space="preserve">Norte árido / desértico</x:t>
        </x:is>
      </x:c>
      <x:c r="AF21" s="10" t="inlineStr">
        <x:is>
          <x:t xml:space="preserve">Criterio térmico referencial OGUC / reglamentación térmica vigente</x:t>
        </x:is>
      </x:c>
      <x:c r="AG21" s="10" t="inlineStr">
        <x:is>
          <x:t xml:space="preserve">https://www.steelframe.cl/ | https://vhaceros.cl/blog/steel-framing-principios-estructurales-y-ventajas-en-la-construccion-chilena/</x:t>
        </x:is>
      </x:c>
      <x:c r="AH21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(60 mm); cubierta Cerchas o paneles steel frame + cubierta metálica de 180 mm; ventanas Aluminio RPT termopanel; revestimiento exterior Estuco sobre placa cementicia; interior Yeso cartón; fundación sugerida Pilotes.</x:t>
        </x:is>
      </x:c>
    </x:row>
    <x:row r="22" ht="32" customHeight="1">
      <x:c r="A22" s="9" t="inlineStr">
        <x:is>
          <x:t xml:space="preserve">MOD-0021</x:t>
        </x:is>
      </x:c>
      <x:c r="B22" s="9" t="inlineStr">
        <x:is>
          <x:t xml:space="preserve">EMP-005</x:t>
        </x:is>
      </x:c>
      <x:c r="C22" s="9" t="inlineStr">
        <x:is>
          <x:t xml:space="preserve">Limarí 60</x:t>
        </x:is>
      </x:c>
      <x:c r="D22" s="9" t="inlineStr">
        <x:is>
          <x:t xml:space="preserve">Limarí</x:t>
        </x:is>
      </x:c>
      <x:c r="E22" s="9" t="inlineStr">
        <x:is>
          <x:t xml:space="preserve">Valle</x:t>
        </x:is>
      </x:c>
      <x:c r="F22" s="9" t="inlineStr">
        <x:is>
          <x:t xml:space="preserve">Sí</x:t>
        </x:is>
      </x:c>
      <x:c r="G22" s="9" t="inlineStr">
        <x:is>
          <x:t xml:space="preserve">STEEL_FRAME</x:t>
        </x:is>
      </x:c>
      <x:c r="H22" s="15" t="n">
        <x:v>60</x:v>
      </x:c>
      <x:c r="I22" s="9" t="n">
        <x:v>2</x:v>
      </x:c>
      <x:c r="J22" s="9" t="n">
        <x:v>1</x:v>
      </x:c>
      <x:c r="K22" s="9" t="n">
        <x:v>1</x:v>
      </x:c>
      <x:c r="L22" s="9" t="n">
        <x:v>2</x:v>
      </x:c>
      <x:c r="M22" s="12" t="n">
        <x:v>2.45</x:v>
      </x:c>
      <x:c r="N22" s="9" t="inlineStr">
        <x:is>
          <x:t xml:space="preserve">Perfilería de acero galvanizado liviano</x:t>
        </x:is>
      </x:c>
      <x:c r="O22" s="10" t="inlineStr">
        <x:is>
          <x:t xml:space="preserve">Acero galvanizado + placa OSB/fibrocemento + cámara técnica</x:t>
        </x:is>
      </x:c>
      <x:c r="P22" s="15" t="n">
        <x:v>110</x:v>
      </x:c>
      <x:c r="Q22" s="9" t="inlineStr">
        <x:is>
          <x:t xml:space="preserve">Lana mineral o lana de roca / PET / EPS según zona térmica</x:t>
        </x:is>
      </x:c>
      <x:c r="R22" s="15" t="n">
        <x:v>80</x:v>
      </x:c>
      <x:c r="S22" s="10" t="inlineStr">
        <x:is>
          <x:t xml:space="preserve">Cerchas o paneles steel frame + cubierta metálica</x:t>
        </x:is>
      </x:c>
      <x:c r="T22" s="15" t="n">
        <x:v>180</x:v>
      </x:c>
      <x:c r="U22" s="10" t="inlineStr">
        <x:is>
          <x:t xml:space="preserve">Lana mineral / lana de roca + barrera de vapor</x:t>
        </x:is>
      </x:c>
      <x:c r="V22" s="9" t="inlineStr">
        <x:is>
          <x:t xml:space="preserve">Envigado metálico o plataforma estructural</x:t>
        </x:is>
      </x:c>
      <x:c r="W22" s="10" t="inlineStr">
        <x:is>
          <x:t xml:space="preserve">Lana mineral 50-100 mm + placas estructurales</x:t>
        </x:is>
      </x:c>
      <x:c r="X22" s="9" t="inlineStr">
        <x:is>
          <x:t xml:space="preserve">Aluminio RPT termopanel</x:t>
        </x:is>
      </x:c>
      <x:c r="Y22" s="9" t="inlineStr">
        <x:is>
          <x:t xml:space="preserve">Estuco sobre placa cementicia</x:t>
        </x:is>
      </x:c>
      <x:c r="Z22" s="9" t="inlineStr">
        <x:is>
          <x:t xml:space="preserve">MDF pintado</x:t>
        </x:is>
      </x:c>
      <x:c r="AA22" s="9" t="inlineStr">
        <x:is>
          <x:t xml:space="preserve">Vigas de fundación y radier</x:t>
        </x:is>
      </x:c>
      <x:c r="AB22" s="15" t="n">
        <x:v>7</x:v>
      </x:c>
      <x:c r="AC22" s="15" t="n">
        <x:v>9</x:v>
      </x:c>
      <x:c r="AD22" s="9" t="inlineStr">
        <x:is>
          <x:t xml:space="preserve">Turismo / arriendo</x:t>
        </x:is>
      </x:c>
      <x:c r="AE22" s="9" t="inlineStr">
        <x:is>
          <x:t xml:space="preserve">Norte árido / desértico</x:t>
        </x:is>
      </x:c>
      <x:c r="AF22" s="10" t="inlineStr">
        <x:is>
          <x:t xml:space="preserve">Criterio térmico referencial OGUC / reglamentación térmica vigente</x:t>
        </x:is>
      </x:c>
      <x:c r="AG22" s="10" t="inlineStr">
        <x:is>
          <x:t xml:space="preserve">https://www.steelframe.cl/ | https://vhaceros.cl/blog/steel-framing-principios-estructurales-y-ventajas-en-la-construccion-chilena/</x:t>
        </x:is>
      </x:c>
      <x:c r="AH22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(80 mm); cubierta Cerchas o paneles steel frame + cubierta metálica de 180 mm; ventanas Aluminio RPT termopanel; revestimiento exterior Estuco sobre placa cementicia; interior Yeso cartón RF; fundación sugerida Radier reforzado.</x:t>
        </x:is>
      </x:c>
    </x:row>
    <x:row r="23" ht="32" customHeight="1">
      <x:c r="A23" s="9" t="inlineStr">
        <x:is>
          <x:t xml:space="preserve">MOD-0022</x:t>
        </x:is>
      </x:c>
      <x:c r="B23" s="9" t="inlineStr">
        <x:is>
          <x:t xml:space="preserve">EMP-005</x:t>
        </x:is>
      </x:c>
      <x:c r="C23" s="9" t="inlineStr">
        <x:is>
          <x:t xml:space="preserve">Huasco 112</x:t>
        </x:is>
      </x:c>
      <x:c r="D23" s="9" t="inlineStr">
        <x:is>
          <x:t xml:space="preserve">Huasco</x:t>
        </x:is>
      </x:c>
      <x:c r="E23" s="9" t="inlineStr">
        <x:is>
          <x:t xml:space="preserve">Valle</x:t>
        </x:is>
      </x:c>
      <x:c r="F23" s="9" t="inlineStr">
        <x:is>
          <x:t xml:space="preserve">Sí</x:t>
        </x:is>
      </x:c>
      <x:c r="G23" s="9" t="inlineStr">
        <x:is>
          <x:t xml:space="preserve">STEEL_FRAME</x:t>
        </x:is>
      </x:c>
      <x:c r="H23" s="15" t="n">
        <x:v>112</x:v>
      </x:c>
      <x:c r="I23" s="9" t="n">
        <x:v>3</x:v>
      </x:c>
      <x:c r="J23" s="9" t="n">
        <x:v>2</x:v>
      </x:c>
      <x:c r="K23" s="9" t="n">
        <x:v>1</x:v>
      </x:c>
      <x:c r="L23" s="9" t="n">
        <x:v>3</x:v>
      </x:c>
      <x:c r="M23" s="12" t="n">
        <x:v>2.4</x:v>
      </x:c>
      <x:c r="N23" s="9" t="inlineStr">
        <x:is>
          <x:t xml:space="preserve">Panelizado steel frame industrializado</x:t>
        </x:is>
      </x:c>
      <x:c r="O23" s="10" t="inlineStr">
        <x:is>
          <x:t xml:space="preserve">Acero galvanizado + placa OSB/fibrocemento + cámara técnica</x:t>
        </x:is>
      </x:c>
      <x:c r="P23" s="15" t="n">
        <x:v>90</x:v>
      </x:c>
      <x:c r="Q23" s="9" t="inlineStr">
        <x:is>
          <x:t xml:space="preserve">Lana mineral o lana de roca / PET / EPS según zona térmica</x:t>
        </x:is>
      </x:c>
      <x:c r="R23" s="15" t="n">
        <x:v>90</x:v>
      </x:c>
      <x:c r="S23" s="10" t="inlineStr">
        <x:is>
          <x:t xml:space="preserve">Cerchas o paneles steel frame + cubierta metálica</x:t>
        </x:is>
      </x:c>
      <x:c r="T23" s="15" t="n">
        <x:v>120</x:v>
      </x:c>
      <x:c r="U23" s="10" t="inlineStr">
        <x:is>
          <x:t xml:space="preserve">Lana mineral / lana de roca + barrera de vapor</x:t>
        </x:is>
      </x:c>
      <x:c r="V23" s="9" t="inlineStr">
        <x:is>
          <x:t xml:space="preserve">Envigado metálico o plataforma estructural</x:t>
        </x:is>
      </x:c>
      <x:c r="W23" s="10" t="inlineStr">
        <x:is>
          <x:t xml:space="preserve">Lana mineral 50-100 mm + placas estructurales</x:t>
        </x:is>
      </x:c>
      <x:c r="X23" s="9" t="inlineStr">
        <x:is>
          <x:t xml:space="preserve">PVC termopanel</x:t>
        </x:is>
      </x:c>
      <x:c r="Y23" s="9" t="inlineStr">
        <x:is>
          <x:t xml:space="preserve">Siding fibrocemento</x:t>
        </x:is>
      </x:c>
      <x:c r="Z23" s="9" t="inlineStr">
        <x:is>
          <x:t xml:space="preserve">MDF pintado</x:t>
        </x:is>
      </x:c>
      <x:c r="AA23" s="9" t="inlineStr">
        <x:is>
          <x:t xml:space="preserve">Vigas de fundación y radier</x:t>
        </x:is>
      </x:c>
      <x:c r="AB23" s="15" t="n">
        <x:v>5</x:v>
      </x:c>
      <x:c r="AC23" s="15" t="n">
        <x:v>10</x:v>
      </x:c>
      <x:c r="AD23" s="9" t="inlineStr">
        <x:is>
          <x:t xml:space="preserve">Primera vivienda</x:t>
        </x:is>
      </x:c>
      <x:c r="AE23" s="9" t="inlineStr">
        <x:is>
          <x:t xml:space="preserve">Norte árido / desértico</x:t>
        </x:is>
      </x:c>
      <x:c r="AF23" s="10" t="inlineStr">
        <x:is>
          <x:t xml:space="preserve">Criterio térmico referencial OGUC / reglamentación térmica vigente</x:t>
        </x:is>
      </x:c>
      <x:c r="AG23" s="10" t="inlineStr">
        <x:is>
          <x:t xml:space="preserve">https://www.steelframe.cl/ | https://vhaceros.cl/blog/steel-framing-principios-estructurales-y-ventajas-en-la-construccion-chilena/</x:t>
        </x:is>
      </x:c>
      <x:c r="AH23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120 mm; ventanas Aluminio RPT termopanel; revestimiento exterior Plancha metálica; interior Yeso cartón; fundación sugerida Radier reforzado.</x:t>
        </x:is>
      </x:c>
    </x:row>
    <x:row r="24" ht="32" customHeight="1">
      <x:c r="A24" s="9" t="inlineStr">
        <x:is>
          <x:t xml:space="preserve">MOD-0023</x:t>
        </x:is>
      </x:c>
      <x:c r="B24" s="9" t="inlineStr">
        <x:is>
          <x:t xml:space="preserve">EMP-005</x:t>
        </x:is>
      </x:c>
      <x:c r="C24" s="9" t="inlineStr">
        <x:is>
          <x:t xml:space="preserve">Copiapó 72</x:t>
        </x:is>
      </x:c>
      <x:c r="D24" s="9" t="inlineStr">
        <x:is>
          <x:t xml:space="preserve">Copiapó</x:t>
        </x:is>
      </x:c>
      <x:c r="E24" s="9" t="inlineStr">
        <x:is>
          <x:t xml:space="preserve">Río</x:t>
        </x:is>
      </x:c>
      <x:c r="F24" s="9" t="inlineStr">
        <x:is>
          <x:t xml:space="preserve">Sí</x:t>
        </x:is>
      </x:c>
      <x:c r="G24" s="9" t="inlineStr">
        <x:is>
          <x:t xml:space="preserve">SIP</x:t>
        </x:is>
      </x:c>
      <x:c r="H24" s="15" t="n">
        <x:v>72</x:v>
      </x:c>
      <x:c r="I24" s="9" t="n">
        <x:v>2</x:v>
      </x:c>
      <x:c r="J24" s="9" t="n">
        <x:v>2</x:v>
      </x:c>
      <x:c r="K24" s="9" t="n">
        <x:v>1</x:v>
      </x:c>
      <x:c r="L24" s="9" t="n">
        <x:v>2</x:v>
      </x:c>
      <x:c r="M24" s="12" t="n">
        <x:v>2.4</x:v>
      </x:c>
      <x:c r="N24" s="9" t="inlineStr">
        <x:is>
          <x:t xml:space="preserve">Panel SIP estructural OSB/EPS/OSB</x:t>
        </x:is>
      </x:c>
      <x:c r="O24" s="10" t="inlineStr">
        <x:is>
          <x:t xml:space="preserve">2 placas OSB estructural + núcleo EPS alta densidad</x:t>
        </x:is>
      </x:c>
      <x:c r="P24" s="15" t="n">
        <x:v>90</x:v>
      </x:c>
      <x:c r="Q24" s="9" t="inlineStr">
        <x:is>
          <x:t xml:space="preserve">EPS alta densidad 15 kg/m³</x:t>
        </x:is>
      </x:c>
      <x:c r="R24" s="15" t="n">
        <x:v>105</x:v>
      </x:c>
      <x:c r="S24" s="10" t="inlineStr">
        <x:is>
          <x:t xml:space="preserve">Panel SIP de cubierta + membrana hidrófuga + hojalatería</x:t>
        </x:is>
      </x:c>
      <x:c r="T24" s="15" t="n">
        <x:v>130</x:v>
      </x:c>
      <x:c r="U24" s="10" t="inlineStr">
        <x:is>
          <x:t xml:space="preserve">EPS integrado + sellos PU</x:t>
        </x:is>
      </x:c>
      <x:c r="V24" s="9" t="inlineStr">
        <x:is>
          <x:t xml:space="preserve">Base entramado madera o radier con barrera de humedad</x:t>
        </x:is>
      </x:c>
      <x:c r="W24" s="10" t="inlineStr">
        <x:is>
          <x:t xml:space="preserve">Aislación bajo piso PET o lana mineral 50-100 mm</x:t>
        </x:is>
      </x:c>
      <x:c r="X24" s="9" t="inlineStr">
        <x:is>
          <x:t xml:space="preserve">PVC DVH</x:t>
        </x:is>
      </x:c>
      <x:c r="Y24" s="9" t="inlineStr">
        <x:is>
          <x:t xml:space="preserve">Siding fibrocemento</x:t>
        </x:is>
      </x:c>
      <x:c r="Z24" s="9" t="inlineStr">
        <x:is>
          <x:t xml:space="preserve">Yeso cartón pintado</x:t>
        </x:is>
      </x:c>
      <x:c r="AA24" s="9" t="inlineStr">
        <x:is>
          <x:t xml:space="preserve">Fundación corrida</x:t>
        </x:is>
      </x:c>
      <x:c r="AB24" s="15" t="n">
        <x:v>6</x:v>
      </x:c>
      <x:c r="AC24" s="15" t="n">
        <x:v>9</x:v>
      </x:c>
      <x:c r="AD24" s="9" t="inlineStr">
        <x:is>
          <x:t xml:space="preserve">Loteo habitacional</x:t>
        </x:is>
      </x:c>
      <x:c r="AE24" s="9" t="inlineStr">
        <x:is>
          <x:t xml:space="preserve">Norte árido / desértico</x:t>
        </x:is>
      </x:c>
      <x:c r="AF24" s="10" t="inlineStr">
        <x:is>
          <x:t xml:space="preserve">NCh3393:2016 (referencial para paneles SIP)</x:t>
        </x:is>
      </x:c>
      <x:c r="AG2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4" s="10" t="inlineStr">
        <x:is>
          <x:t xml:space="preserve">Estructura: Panel SIP estructural OSB/EPS/OSB; muros 2 placas OSB estructural + núcleo EPS alta densidad de 90 mm con aislación EPS alta densidad 15 kg/m³ (105 mm); cubierta Panel SIP de cubierta + membrana hidrófuga + hojalatería de 130 mm; ventanas Aluminio con termopanel; revestimiento exterior Madera tratada; interior MDF en zonas secas; fundación sugerida Radier afinado.</x:t>
        </x:is>
      </x:c>
    </x:row>
    <x:row r="25" ht="32" customHeight="1">
      <x:c r="A25" s="9" t="inlineStr">
        <x:is>
          <x:t xml:space="preserve">MOD-0024</x:t>
        </x:is>
      </x:c>
      <x:c r="B25" s="9" t="inlineStr">
        <x:is>
          <x:t xml:space="preserve">EMP-005</x:t>
        </x:is>
      </x:c>
      <x:c r="C25" s="9" t="inlineStr">
        <x:is>
          <x:t xml:space="preserve">Loa 156</x:t>
        </x:is>
      </x:c>
      <x:c r="D25" s="9" t="inlineStr">
        <x:is>
          <x:t xml:space="preserve">Loa</x:t>
        </x:is>
      </x:c>
      <x:c r="E25" s="9" t="inlineStr">
        <x:is>
          <x:t xml:space="preserve">Archipiélago</x:t>
        </x:is>
      </x:c>
      <x:c r="F25" s="9" t="inlineStr">
        <x:is>
          <x:t xml:space="preserve">Sí</x:t>
        </x:is>
      </x:c>
      <x:c r="G25" s="9" t="inlineStr">
        <x:is>
          <x:t xml:space="preserve">MODULAR_TIMBER</x:t>
        </x:is>
      </x:c>
      <x:c r="H25" s="15" t="n">
        <x:v>156</x:v>
      </x:c>
      <x:c r="I25" s="9" t="n">
        <x:v>4</x:v>
      </x:c>
      <x:c r="J25" s="9" t="n">
        <x:v>3</x:v>
      </x:c>
      <x:c r="K25" s="9" t="n">
        <x:v>2</x:v>
      </x:c>
      <x:c r="L25" s="9" t="n">
        <x:v>4</x:v>
      </x:c>
      <x:c r="M25" s="12" t="n">
        <x:v>2.5</x:v>
      </x:c>
      <x:c r="N25" s="9" t="inlineStr">
        <x:is>
          <x:t xml:space="preserve">Madera laminada y entramado ligero</x:t>
        </x:is>
      </x:c>
      <x:c r="O25" s="10" t="inlineStr">
        <x:is>
          <x:t xml:space="preserve">Madera estructural + OSB / terciado + barrera hidrófuga</x:t>
        </x:is>
      </x:c>
      <x:c r="P25" s="15" t="n">
        <x:v>140</x:v>
      </x:c>
      <x:c r="Q25" s="9" t="inlineStr">
        <x:is>
          <x:t xml:space="preserve">Lana mineral / lana de vidrio / PET reciclado</x:t>
        </x:is>
      </x:c>
      <x:c r="R25" s="15" t="n">
        <x:v>100</x:v>
      </x:c>
      <x:c r="S25" s="10" t="inlineStr">
        <x:is>
          <x:t xml:space="preserve">Cercha de madera + cubierta metálica o tejuela asfáltica</x:t>
        </x:is>
      </x:c>
      <x:c r="T25" s="15" t="n">
        <x:v>150</x:v>
      </x:c>
      <x:c r="U25" s="10" t="inlineStr">
        <x:is>
          <x:t xml:space="preserve">Lana mineral 80-140 mm + membrana</x:t>
        </x:is>
      </x:c>
      <x:c r="V25" s="9" t="inlineStr">
        <x:is>
          <x:t xml:space="preserve">Plataforma de madera estructural o radier</x:t>
        </x:is>
      </x:c>
      <x:c r="W25" s="10" t="inlineStr">
        <x:is>
          <x:t xml:space="preserve">Lana mineral 50-100 mm / barrera humedad</x:t>
        </x:is>
      </x:c>
      <x:c r="X25" s="9" t="inlineStr">
        <x:is>
          <x:t xml:space="preserve">Aluminio termopanel</x:t>
        </x:is>
      </x:c>
      <x:c r="Y25" s="9" t="inlineStr">
        <x:is>
          <x:t xml:space="preserve">Smart Panel</x:t>
        </x:is>
      </x:c>
      <x:c r="Z25" s="9" t="inlineStr">
        <x:is>
          <x:t xml:space="preserve">Yeso cartón</x:t>
        </x:is>
      </x:c>
      <x:c r="AA25" s="9" t="inlineStr">
        <x:is>
          <x:t xml:space="preserve">Fundación corrida</x:t>
        </x:is>
      </x:c>
      <x:c r="AB25" s="15" t="n">
        <x:v>5</x:v>
      </x:c>
      <x:c r="AC25" s="15" t="n">
        <x:v>15</x:v>
      </x:c>
      <x:c r="AD25" s="9" t="inlineStr">
        <x:is>
          <x:t xml:space="preserve">Oficina + vivienda</x:t>
        </x:is>
      </x:c>
      <x:c r="AE25" s="9" t="inlineStr">
        <x:is>
          <x:t xml:space="preserve">Norte árido / desértico</x:t>
        </x:is>
      </x:c>
      <x:c r="AF25" s="10" t="inlineStr">
        <x:is>
          <x:t xml:space="preserve">Especificaciones técnicas de vivienda industrializada en madera (referencial)</x:t>
        </x:is>
      </x:c>
      <x:c r="AG25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5" s="10" t="inlineStr">
        <x:is>
          <x:t xml:space="preserve">Estructura: Entramado ligero en pino impregnado; muros Madera estructural + OSB / terciado + barrera hidrófuga de 140 mm con aislación Lana mineral / lana de vidrio / PET reciclado (100 mm); cubierta Cercha de madera + cubierta metálica o tejuela asfáltica de 150 mm; ventanas Aluminio termopanel; revestimiento exterior Siding fibrocemento; interior Yeso cartón; fundación sugerida Fundación corrida.</x:t>
        </x:is>
      </x:c>
    </x:row>
    <x:row r="26" ht="32" customHeight="1">
      <x:c r="A26" s="9" t="inlineStr">
        <x:is>
          <x:t xml:space="preserve">MOD-0025</x:t>
        </x:is>
      </x:c>
      <x:c r="B26" s="9" t="inlineStr">
        <x:is>
          <x:t xml:space="preserve">EMP-005</x:t>
        </x:is>
      </x:c>
      <x:c r="C26" s="9" t="inlineStr">
        <x:is>
          <x:t xml:space="preserve">Lauca 176</x:t>
        </x:is>
      </x:c>
      <x:c r="D26" s="9" t="inlineStr">
        <x:is>
          <x:t xml:space="preserve">Lauca</x:t>
        </x:is>
      </x:c>
      <x:c r="E26" s="9" t="inlineStr">
        <x:is>
          <x:t xml:space="preserve">Comuna</x:t>
        </x:is>
      </x:c>
      <x:c r="F26" s="9" t="inlineStr">
        <x:is>
          <x:t xml:space="preserve">Sí</x:t>
        </x:is>
      </x:c>
      <x:c r="G26" s="9" t="inlineStr">
        <x:is>
          <x:t xml:space="preserve">HYBRID_MODULAR</x:t>
        </x:is>
      </x:c>
      <x:c r="H26" s="15" t="n">
        <x:v>176</x:v>
      </x:c>
      <x:c r="I26" s="9" t="n">
        <x:v>4</x:v>
      </x:c>
      <x:c r="J26" s="9" t="n">
        <x:v>3</x:v>
      </x:c>
      <x:c r="K26" s="9" t="n">
        <x:v>1</x:v>
      </x:c>
      <x:c r="L26" s="9" t="n">
        <x:v>4</x:v>
      </x:c>
      <x:c r="M26" s="12" t="n">
        <x:v>2.5</x:v>
      </x:c>
      <x:c r="N26" s="9" t="inlineStr">
        <x:is>
          <x:t xml:space="preserve">Módulos de acero + paneles SIP</x:t>
        </x:is>
      </x:c>
      <x:c r="O26" s="10" t="inlineStr">
        <x:is>
          <x:t xml:space="preserve">Acero galvanizado o madera laminada + panel SIP MgO/OSB</x:t>
        </x:is>
      </x:c>
      <x:c r="P26" s="15" t="n">
        <x:v>120</x:v>
      </x:c>
      <x:c r="Q26" s="9" t="inlineStr">
        <x:is>
          <x:t xml:space="preserve">Lana mineral 75-100 mm o EPS integrado</x:t>
        </x:is>
      </x:c>
      <x:c r="R26" s="15" t="n">
        <x:v>90</x:v>
      </x:c>
      <x:c r="S26" s="10" t="inlineStr">
        <x:is>
          <x:t xml:space="preserve">Módulo volumétrico con cubierta panelizada</x:t>
        </x:is>
      </x:c>
      <x:c r="T26" s="15" t="n">
        <x:v>140</x:v>
      </x:c>
      <x:c r="U26" s="10" t="inlineStr">
        <x:is>
          <x:t xml:space="preserve">Lana mineral / EPS / barrera vapor</x:t>
        </x:is>
      </x:c>
      <x:c r="V26" s="9" t="inlineStr">
        <x:is>
          <x:t xml:space="preserve">Bastidor metálico o madera laminada</x:t>
        </x:is>
      </x:c>
      <x:c r="W26" s="10" t="inlineStr">
        <x:is>
          <x:t xml:space="preserve">Lana mineral 80-100 mm + fibrocemento</x:t>
        </x:is>
      </x:c>
      <x:c r="X26" s="9" t="inlineStr">
        <x:is>
          <x:t xml:space="preserve">PVC termopanel</x:t>
        </x:is>
      </x:c>
      <x:c r="Y26" s="9" t="inlineStr">
        <x:is>
          <x:t xml:space="preserve">Madera tratada</x:t>
        </x:is>
      </x:c>
      <x:c r="Z26" s="9" t="inlineStr">
        <x:is>
          <x:t xml:space="preserve">Yeso cartón RH</x:t>
        </x:is>
      </x:c>
      <x:c r="AA26" s="9" t="inlineStr">
        <x:is>
          <x:t xml:space="preserve">Dados de hormigón</x:t>
        </x:is>
      </x:c>
      <x:c r="AB26" s="15" t="n">
        <x:v>6</x:v>
      </x:c>
      <x:c r="AC26" s="15" t="n">
        <x:v>10</x:v>
      </x:c>
      <x:c r="AD26" s="9" t="inlineStr">
        <x:is>
          <x:t xml:space="preserve">Segunda vivienda</x:t>
        </x:is>
      </x:c>
      <x:c r="AE26" s="9" t="inlineStr">
        <x:is>
          <x:t xml:space="preserve">Norte árido / desértico</x:t>
        </x:is>
      </x:c>
      <x:c r="AF26" s="10" t="inlineStr">
        <x:is>
          <x:t xml:space="preserve">Criterios de prefabricación modular y coordinación BIM (referencial)</x:t>
        </x:is>
      </x:c>
      <x:c r="AG26" s="10" t="inlineStr">
        <x:is>
          <x:t xml:space="preserve">https://modul.cl/construccion-de-casas-prefabricadas-modulares/ | https://tecnofasthome.cl/casas-modulares/</x:t>
        </x:is>
      </x:c>
      <x:c r="AH26" s="10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140 mm; ventanas Aluminio termopanel; revestimiento exterior Madera tratada; interior Yeso cartón pintado; fundación sugerida Pilotes ajustables.</x:t>
        </x:is>
      </x:c>
    </x:row>
    <x:row r="27" ht="32" customHeight="1">
      <x:c r="A27" s="9" t="inlineStr">
        <x:is>
          <x:t xml:space="preserve">MOD-0026</x:t>
        </x:is>
      </x:c>
      <x:c r="B27" s="9" t="inlineStr">
        <x:is>
          <x:t xml:space="preserve">EMP-006</x:t>
        </x:is>
      </x:c>
      <x:c r="C27" s="9" t="inlineStr">
        <x:is>
          <x:t xml:space="preserve">Tinguiririca 60</x:t>
        </x:is>
      </x:c>
      <x:c r="D27" s="9" t="inlineStr">
        <x:is>
          <x:t xml:space="preserve">Tinguiririca</x:t>
        </x:is>
      </x:c>
      <x:c r="E27" s="9" t="inlineStr">
        <x:is>
          <x:t xml:space="preserve">Volcán</x:t>
        </x:is>
      </x:c>
      <x:c r="F27" s="9" t="inlineStr">
        <x:is>
          <x:t xml:space="preserve">Sí</x:t>
        </x:is>
      </x:c>
      <x:c r="G27" s="9" t="inlineStr">
        <x:is>
          <x:t xml:space="preserve">SIP</x:t>
        </x:is>
      </x:c>
      <x:c r="H27" s="15" t="n">
        <x:v>60</x:v>
      </x:c>
      <x:c r="I27" s="9" t="n">
        <x:v>2</x:v>
      </x:c>
      <x:c r="J27" s="9" t="n">
        <x:v>1</x:v>
      </x:c>
      <x:c r="K27" s="9" t="n">
        <x:v>1</x:v>
      </x:c>
      <x:c r="L27" s="9" t="n">
        <x:v>2</x:v>
      </x:c>
      <x:c r="M27" s="12" t="n">
        <x:v>2.5</x:v>
      </x:c>
      <x:c r="N27" s="9" t="inlineStr">
        <x:is>
          <x:t xml:space="preserve">Panel SIP estructural con uniones en pino seco</x:t>
        </x:is>
      </x:c>
      <x:c r="O27" s="10" t="inlineStr">
        <x:is>
          <x:t xml:space="preserve">2 placas OSB estructural + núcleo EPS alta densidad</x:t>
        </x:is>
      </x:c>
      <x:c r="P27" s="15" t="n">
        <x:v>114</x:v>
      </x:c>
      <x:c r="Q27" s="9" t="inlineStr">
        <x:is>
          <x:t xml:space="preserve">EPS alta densidad 15 kg/m³</x:t>
        </x:is>
      </x:c>
      <x:c r="R27" s="15" t="n">
        <x:v>53</x:v>
      </x:c>
      <x:c r="S27" s="10" t="inlineStr">
        <x:is>
          <x:t xml:space="preserve">Panel SIP de cubierta + membrana hidrófuga + hojalatería</x:t>
        </x:is>
      </x:c>
      <x:c r="T27" s="15" t="n">
        <x:v>130</x:v>
      </x:c>
      <x:c r="U27" s="10" t="inlineStr">
        <x:is>
          <x:t xml:space="preserve">EPS integrado + sellos PU</x:t>
        </x:is>
      </x:c>
      <x:c r="V27" s="9" t="inlineStr">
        <x:is>
          <x:t xml:space="preserve">Base entramado madera o radier con barrera de humedad</x:t>
        </x:is>
      </x:c>
      <x:c r="W27" s="10" t="inlineStr">
        <x:is>
          <x:t xml:space="preserve">Aislación bajo piso PET o lana mineral 50-100 mm</x:t>
        </x:is>
      </x:c>
      <x:c r="X27" s="9" t="inlineStr">
        <x:is>
          <x:t xml:space="preserve">Aluminio con termopanel</x:t>
        </x:is>
      </x:c>
      <x:c r="Y27" s="9" t="inlineStr">
        <x:is>
          <x:t xml:space="preserve">Siding fibrocemento</x:t>
        </x:is>
      </x:c>
      <x:c r="Z27" s="9" t="inlineStr">
        <x:is>
          <x:t xml:space="preserve">Yeso cartón RH en zonas húmedas</x:t>
        </x:is>
      </x:c>
      <x:c r="AA27" s="9" t="inlineStr">
        <x:is>
          <x:t xml:space="preserve">Radier afinado</x:t>
        </x:is>
      </x:c>
      <x:c r="AB27" s="15" t="n">
        <x:v>3</x:v>
      </x:c>
      <x:c r="AC27" s="15" t="n">
        <x:v>10</x:v>
      </x:c>
      <x:c r="AD27" s="9" t="inlineStr">
        <x:is>
          <x:t xml:space="preserve">Parcela</x:t>
        </x:is>
      </x:c>
      <x:c r="AE27" s="9" t="inlineStr">
        <x:is>
          <x:t xml:space="preserve">Norte árido / desértico</x:t>
        </x:is>
      </x:c>
      <x:c r="AF27" s="10" t="inlineStr">
        <x:is>
          <x:t xml:space="preserve">NCh3393:2016 (referencial para paneles SIP)</x:t>
        </x:is>
      </x:c>
      <x:c r="AG2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7" s="10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130 mm; ventanas Aluminio con termopanel; revestimiento exterior Siding fibrocemento; interior MDF en zonas secas; fundación sugerida Sobrecimientos y radier.</x:t>
        </x:is>
      </x:c>
    </x:row>
    <x:row r="28" ht="32" customHeight="1">
      <x:c r="A28" s="9" t="inlineStr">
        <x:is>
          <x:t xml:space="preserve">MOD-0027</x:t>
        </x:is>
      </x:c>
      <x:c r="B28" s="9" t="inlineStr">
        <x:is>
          <x:t xml:space="preserve">EMP-006</x:t>
        </x:is>
      </x:c>
      <x:c r="C28" s="9" t="inlineStr">
        <x:is>
          <x:t xml:space="preserve">Claro 80</x:t>
        </x:is>
      </x:c>
      <x:c r="D28" s="9" t="inlineStr">
        <x:is>
          <x:t xml:space="preserve">Claro</x:t>
        </x:is>
      </x:c>
      <x:c r="E28" s="9" t="inlineStr">
        <x:is>
          <x:t xml:space="preserve">Valle</x:t>
        </x:is>
      </x:c>
      <x:c r="F28" s="9" t="inlineStr">
        <x:is>
          <x:t xml:space="preserve">Sí</x:t>
        </x:is>
      </x:c>
      <x:c r="G28" s="9" t="inlineStr">
        <x:is>
          <x:t xml:space="preserve">SIP</x:t>
        </x:is>
      </x:c>
      <x:c r="H28" s="15" t="n">
        <x:v>80</x:v>
      </x:c>
      <x:c r="I28" s="9" t="n">
        <x:v>3</x:v>
      </x:c>
      <x:c r="J28" s="9" t="n">
        <x:v>2</x:v>
      </x:c>
      <x:c r="K28" s="9" t="n">
        <x:v>1</x:v>
      </x:c>
      <x:c r="L28" s="9" t="n">
        <x:v>2</x:v>
      </x:c>
      <x:c r="M28" s="12" t="n">
        <x:v>2.45</x:v>
      </x:c>
      <x:c r="N28" s="9" t="inlineStr">
        <x:is>
          <x:t xml:space="preserve">Panel SIP estructural con uniones en pino seco</x:t>
        </x:is>
      </x:c>
      <x:c r="O28" s="10" t="inlineStr">
        <x:is>
          <x:t xml:space="preserve">2 placas OSB estructural + núcleo EPS alta densidad</x:t>
        </x:is>
      </x:c>
      <x:c r="P28" s="15" t="n">
        <x:v>130</x:v>
      </x:c>
      <x:c r="Q28" s="9" t="inlineStr">
        <x:is>
          <x:t xml:space="preserve">EPS alta densidad 15 kg/m³</x:t>
        </x:is>
      </x:c>
      <x:c r="R28" s="15" t="n">
        <x:v>92</x:v>
      </x:c>
      <x:c r="S28" s="10" t="inlineStr">
        <x:is>
          <x:t xml:space="preserve">Panel SIP de cubierta + membrana hidrófuga + hojalatería</x:t>
        </x:is>
      </x:c>
      <x:c r="T28" s="15" t="n">
        <x:v>114</x:v>
      </x:c>
      <x:c r="U28" s="10" t="inlineStr">
        <x:is>
          <x:t xml:space="preserve">EPS integrado + sellos PU</x:t>
        </x:is>
      </x:c>
      <x:c r="V28" s="9" t="inlineStr">
        <x:is>
          <x:t xml:space="preserve">Base entramado madera o radier con barrera de humedad</x:t>
        </x:is>
      </x:c>
      <x:c r="W28" s="10" t="inlineStr">
        <x:is>
          <x:t xml:space="preserve">Aislación bajo piso PET o lana mineral 50-100 mm</x:t>
        </x:is>
      </x:c>
      <x:c r="X28" s="9" t="inlineStr">
        <x:is>
          <x:t xml:space="preserve">PVC termopanel</x:t>
        </x:is>
      </x:c>
      <x:c r="Y28" s="9" t="inlineStr">
        <x:is>
          <x:t xml:space="preserve">Madera tratada</x:t>
        </x:is>
      </x:c>
      <x:c r="Z28" s="9" t="inlineStr">
        <x:is>
          <x:t xml:space="preserve">OSB sellado y pintado</x:t>
        </x:is>
      </x:c>
      <x:c r="AA28" s="9" t="inlineStr">
        <x:is>
          <x:t xml:space="preserve">Radier afinado</x:t>
        </x:is>
      </x:c>
      <x:c r="AB28" s="15" t="n">
        <x:v>6</x:v>
      </x:c>
      <x:c r="AC28" s="15" t="n">
        <x:v>5</x:v>
      </x:c>
      <x:c r="AD28" s="9" t="inlineStr">
        <x:is>
          <x:t xml:space="preserve">Oficina + vivienda</x:t>
        </x:is>
      </x:c>
      <x:c r="AE28" s="9" t="inlineStr">
        <x:is>
          <x:t xml:space="preserve">Norte árido / desértico</x:t>
        </x:is>
      </x:c>
      <x:c r="AF28" s="10" t="inlineStr">
        <x:is>
          <x:t xml:space="preserve">NCh3393:2016 (referencial para paneles SIP)</x:t>
        </x:is>
      </x:c>
      <x:c r="AG28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8" s="10" t="inlineStr">
        <x:is>
          <x:t xml:space="preserve">Estructura: Panel SIP estructural OSB/EPS/OSB; muros 2 placas OSB estructural + núcleo EPS alta densidad de 130 mm con aislación EPS alta densidad 15 kg/m³ (92 mm); cubierta Panel SIP de cubierta + membrana hidrófuga + hojalatería de 114 mm; ventanas Aluminio con termopanel; revestimiento exterior Plancha metálica prepintada; interior Yeso cartón pintado; fundación sugerida Sobrecimientos y radier.</x:t>
        </x:is>
      </x:c>
    </x:row>
    <x:row r="29" ht="32" customHeight="1">
      <x:c r="A29" s="9" t="inlineStr">
        <x:is>
          <x:t xml:space="preserve">MOD-0028</x:t>
        </x:is>
      </x:c>
      <x:c r="B29" s="9" t="inlineStr">
        <x:is>
          <x:t xml:space="preserve">EMP-006</x:t>
        </x:is>
      </x:c>
      <x:c r="C29" s="9" t="inlineStr">
        <x:is>
          <x:t xml:space="preserve">Loncomilla 112</x:t>
        </x:is>
      </x:c>
      <x:c r="D29" s="9" t="inlineStr">
        <x:is>
          <x:t xml:space="preserve">Loncomilla</x:t>
        </x:is>
      </x:c>
      <x:c r="E29" s="9" t="inlineStr">
        <x:is>
          <x:t xml:space="preserve">Ciudad</x:t>
        </x:is>
      </x:c>
      <x:c r="F29" s="9" t="inlineStr">
        <x:is>
          <x:t xml:space="preserve">Sí</x:t>
        </x:is>
      </x:c>
      <x:c r="G29" s="9" t="inlineStr">
        <x:is>
          <x:t xml:space="preserve">MODULAR_TIMBER</x:t>
        </x:is>
      </x:c>
      <x:c r="H29" s="15" t="n">
        <x:v>112</x:v>
      </x:c>
      <x:c r="I29" s="9" t="n">
        <x:v>3</x:v>
      </x:c>
      <x:c r="J29" s="9" t="n">
        <x:v>2</x:v>
      </x:c>
      <x:c r="K29" s="9" t="n">
        <x:v>1</x:v>
      </x:c>
      <x:c r="L29" s="9" t="n">
        <x:v>3</x:v>
      </x:c>
      <x:c r="M29" s="12" t="n">
        <x:v>2.4</x:v>
      </x:c>
      <x:c r="N29" s="9" t="inlineStr">
        <x:is>
          <x:t xml:space="preserve">Entramado ligero en pino impregnado</x:t>
        </x:is>
      </x:c>
      <x:c r="O29" s="10" t="inlineStr">
        <x:is>
          <x:t xml:space="preserve">Madera estructural + OSB / terciado + barrera hidrófuga</x:t>
        </x:is>
      </x:c>
      <x:c r="P29" s="15" t="n">
        <x:v>89</x:v>
      </x:c>
      <x:c r="Q29" s="9" t="inlineStr">
        <x:is>
          <x:t xml:space="preserve">Lana mineral / lana de vidrio / PET reciclado</x:t>
        </x:is>
      </x:c>
      <x:c r="R29" s="15" t="n">
        <x:v>80</x:v>
      </x:c>
      <x:c r="S29" s="10" t="inlineStr">
        <x:is>
          <x:t xml:space="preserve">Cercha de madera + cubierta metálica o tejuela asfáltica</x:t>
        </x:is>
      </x:c>
      <x:c r="T29" s="15" t="n">
        <x:v>150</x:v>
      </x:c>
      <x:c r="U29" s="10" t="inlineStr">
        <x:is>
          <x:t xml:space="preserve">Lana mineral 80-140 mm + membrana</x:t>
        </x:is>
      </x:c>
      <x:c r="V29" s="9" t="inlineStr">
        <x:is>
          <x:t xml:space="preserve">Plataforma de madera estructural o radier</x:t>
        </x:is>
      </x:c>
      <x:c r="W29" s="10" t="inlineStr">
        <x:is>
          <x:t xml:space="preserve">Lana mineral 50-100 mm / barrera humedad</x:t>
        </x:is>
      </x:c>
      <x:c r="X29" s="9" t="inlineStr">
        <x:is>
          <x:t xml:space="preserve">PVC termopanel</x:t>
        </x:is>
      </x:c>
      <x:c r="Y29" s="9" t="inlineStr">
        <x:is>
          <x:t xml:space="preserve">Madera tratada</x:t>
        </x:is>
      </x:c>
      <x:c r="Z29" s="9" t="inlineStr">
        <x:is>
          <x:t xml:space="preserve">Yeso cartón</x:t>
        </x:is>
      </x:c>
      <x:c r="AA29" s="9" t="inlineStr">
        <x:is>
          <x:t xml:space="preserve">Pilotes</x:t>
        </x:is>
      </x:c>
      <x:c r="AB29" s="15" t="n">
        <x:v>6</x:v>
      </x:c>
      <x:c r="AC29" s="15" t="n">
        <x:v>18</x:v>
      </x:c>
      <x:c r="AD29" s="9" t="inlineStr">
        <x:is>
          <x:t xml:space="preserve">Cabaña permanente</x:t>
        </x:is>
      </x:c>
      <x:c r="AE29" s="9" t="inlineStr">
        <x:is>
          <x:t xml:space="preserve">Norte árido / desértico</x:t>
        </x:is>
      </x:c>
      <x:c r="AF29" s="10" t="inlineStr">
        <x:is>
          <x:t xml:space="preserve">Especificaciones técnicas de vivienda industrializada en madera (referencial)</x:t>
        </x:is>
      </x:c>
      <x:c r="AG29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9" s="10" t="inlineStr">
        <x:is>
          <x:t xml:space="preserve">Estructura: Madera laminada y entramado ligero; muros Madera estructural + OSB / terciado + barrera hidrófuga de 89 mm con aislación Lana mineral / lana de vidrio / PET reciclado (80 mm); cubierta Cercha de madera + cubierta metálica o tejuela asfáltica de 150 mm; ventanas PVC termopanel; revestimiento exterior Smart Panel; interior Yeso cartón; fundación sugerida Pilotes.</x:t>
        </x:is>
      </x:c>
    </x:row>
    <x:row r="30" ht="32" customHeight="1">
      <x:c r="A30" s="9" t="inlineStr">
        <x:is>
          <x:t xml:space="preserve">MOD-0029</x:t>
        </x:is>
      </x:c>
      <x:c r="B30" s="9" t="inlineStr">
        <x:is>
          <x:t xml:space="preserve">EMP-006</x:t>
        </x:is>
      </x:c>
      <x:c r="C30" s="9" t="inlineStr">
        <x:is>
          <x:t xml:space="preserve">Cautín 156</x:t>
        </x:is>
      </x:c>
      <x:c r="D30" s="9" t="inlineStr">
        <x:is>
          <x:t xml:space="preserve">Cautín</x:t>
        </x:is>
      </x:c>
      <x:c r="E30" s="9" t="inlineStr">
        <x:is>
          <x:t xml:space="preserve">Ciudad</x:t>
        </x:is>
      </x:c>
      <x:c r="F30" s="9" t="inlineStr">
        <x:is>
          <x:t xml:space="preserve">Sí</x:t>
        </x:is>
      </x:c>
      <x:c r="G30" s="9" t="inlineStr">
        <x:is>
          <x:t xml:space="preserve">STEEL_FRAME</x:t>
        </x:is>
      </x:c>
      <x:c r="H30" s="15" t="n">
        <x:v>156</x:v>
      </x:c>
      <x:c r="I30" s="9" t="n">
        <x:v>4</x:v>
      </x:c>
      <x:c r="J30" s="9" t="n">
        <x:v>3</x:v>
      </x:c>
      <x:c r="K30" s="9" t="n">
        <x:v>2</x:v>
      </x:c>
      <x:c r="L30" s="9" t="n">
        <x:v>4</x:v>
      </x:c>
      <x:c r="M30" s="12" t="n">
        <x:v>2.45</x:v>
      </x:c>
      <x:c r="N30" s="9" t="inlineStr">
        <x:is>
          <x:t xml:space="preserve">Perfilería de acero galvanizado liviano</x:t>
        </x:is>
      </x:c>
      <x:c r="O30" s="10" t="inlineStr">
        <x:is>
          <x:t xml:space="preserve">Acero galvanizado + placa OSB/fibrocemento + cámara técnica</x:t>
        </x:is>
      </x:c>
      <x:c r="P30" s="15" t="n">
        <x:v>160</x:v>
      </x:c>
      <x:c r="Q30" s="9" t="inlineStr">
        <x:is>
          <x:t xml:space="preserve">Lana mineral o lana de roca / PET / EPS según zona térmica</x:t>
        </x:is>
      </x:c>
      <x:c r="R30" s="15" t="n">
        <x:v>90</x:v>
      </x:c>
      <x:c r="S30" s="10" t="inlineStr">
        <x:is>
          <x:t xml:space="preserve">Cerchas o paneles steel frame + cubierta metálica</x:t>
        </x:is>
      </x:c>
      <x:c r="T30" s="15" t="n">
        <x:v>180</x:v>
      </x:c>
      <x:c r="U30" s="10" t="inlineStr">
        <x:is>
          <x:t xml:space="preserve">Lana mineral / lana de roca + barrera de vapor</x:t>
        </x:is>
      </x:c>
      <x:c r="V30" s="9" t="inlineStr">
        <x:is>
          <x:t xml:space="preserve">Envigado metálico o plataforma estructural</x:t>
        </x:is>
      </x:c>
      <x:c r="W30" s="10" t="inlineStr">
        <x:is>
          <x:t xml:space="preserve">Lana mineral 50-100 mm + placas estructurales</x:t>
        </x:is>
      </x:c>
      <x:c r="X30" s="9" t="inlineStr">
        <x:is>
          <x:t xml:space="preserve">Aluminio RPT termopanel</x:t>
        </x:is>
      </x:c>
      <x:c r="Y30" s="9" t="inlineStr">
        <x:is>
          <x:t xml:space="preserve">Estuco sobre placa cementicia</x:t>
        </x:is>
      </x:c>
      <x:c r="Z30" s="9" t="inlineStr">
        <x:is>
          <x:t xml:space="preserve">Yeso cartón</x:t>
        </x:is>
      </x:c>
      <x:c r="AA30" s="9" t="inlineStr">
        <x:is>
          <x:t xml:space="preserve">Pilotes</x:t>
        </x:is>
      </x:c>
      <x:c r="AB30" s="15" t="n">
        <x:v>6</x:v>
      </x:c>
      <x:c r="AC30" s="15" t="n">
        <x:v>8</x:v>
      </x:c>
      <x:c r="AD30" s="9" t="inlineStr">
        <x:is>
          <x:t xml:space="preserve">Loteo habitacional</x:t>
        </x:is>
      </x:c>
      <x:c r="AE30" s="9" t="inlineStr">
        <x:is>
          <x:t xml:space="preserve">Norte árido / desértico</x:t>
        </x:is>
      </x:c>
      <x:c r="AF30" s="10" t="inlineStr">
        <x:is>
          <x:t xml:space="preserve">Criterio térmico referencial OGUC / reglamentación térmica vigente</x:t>
        </x:is>
      </x:c>
      <x:c r="AG30" s="10" t="inlineStr">
        <x:is>
          <x:t xml:space="preserve">https://www.steelframe.cl/ | https://vhaceros.cl/blog/steel-framing-principios-estructurales-y-ventajas-en-la-construccion-chilena/</x:t>
        </x:is>
      </x:c>
      <x:c r="AH30" s="10" t="inlineStr">
        <x:is>
          <x:t xml:space="preserve">Estructura: Panelizado steel frame industrializado; muros Acero galvanizado + placa OSB/fibrocemento + cámara técnica de 160 mm con aislación Lana mineral o lana de roca / PET / EPS según zona térmica (90 mm); cubierta Cerchas o paneles steel frame + cubierta metálica de 180 mm; ventanas PVC termopanel; revestimiento exterior Plancha metálica; interior Yeso cartón RF; fundación sugerida Vigas de fundación y radier.</x:t>
        </x:is>
      </x:c>
    </x:row>
    <x:row r="31" ht="32" customHeight="1">
      <x:c r="A31" s="9" t="inlineStr">
        <x:is>
          <x:t xml:space="preserve">MOD-0030</x:t>
        </x:is>
      </x:c>
      <x:c r="B31" s="9" t="inlineStr">
        <x:is>
          <x:t xml:space="preserve">EMP-006</x:t>
        </x:is>
      </x:c>
      <x:c r="C31" s="9" t="inlineStr">
        <x:is>
          <x:t xml:space="preserve">Malleco 192</x:t>
        </x:is>
      </x:c>
      <x:c r="D31" s="9" t="inlineStr">
        <x:is>
          <x:t xml:space="preserve">Malleco</x:t>
        </x:is>
      </x:c>
      <x:c r="E31" s="9" t="inlineStr">
        <x:is>
          <x:t xml:space="preserve">Valle</x:t>
        </x:is>
      </x:c>
      <x:c r="F31" s="9" t="inlineStr">
        <x:is>
          <x:t xml:space="preserve">Sí</x:t>
        </x:is>
      </x:c>
      <x:c r="G31" s="9" t="inlineStr">
        <x:is>
          <x:t xml:space="preserve">HYBRID_MODULAR</x:t>
        </x:is>
      </x:c>
      <x:c r="H31" s="15" t="n">
        <x:v>192</x:v>
      </x:c>
      <x:c r="I31" s="9" t="n">
        <x:v>4</x:v>
      </x:c>
      <x:c r="J31" s="9" t="n">
        <x:v>3</x:v>
      </x:c>
      <x:c r="K31" s="9" t="n">
        <x:v>1</x:v>
      </x:c>
      <x:c r="L31" s="9" t="n">
        <x:v>4</x:v>
      </x:c>
      <x:c r="M31" s="12" t="n">
        <x:v>2.35</x:v>
      </x:c>
      <x:c r="N31" s="9" t="inlineStr">
        <x:is>
          <x:t xml:space="preserve">Estructura híbrida acero-madera panelizada</x:t>
        </x:is>
      </x:c>
      <x:c r="O31" s="10" t="inlineStr">
        <x:is>
          <x:t xml:space="preserve">Acero galvanizado o madera laminada + panel SIP MgO/OSB</x:t>
        </x:is>
      </x:c>
      <x:c r="P31" s="15" t="n">
        <x:v>110</x:v>
      </x:c>
      <x:c r="Q31" s="9" t="inlineStr">
        <x:is>
          <x:t xml:space="preserve">Lana mineral 75-100 mm o EPS integrado</x:t>
        </x:is>
      </x:c>
      <x:c r="R31" s="15" t="n">
        <x:v>90</x:v>
      </x:c>
      <x:c r="S31" s="10" t="inlineStr">
        <x:is>
          <x:t xml:space="preserve">Módulo volumétrico con cubierta panelizada</x:t>
        </x:is>
      </x:c>
      <x:c r="T31" s="15" t="n">
        <x:v>160</x:v>
      </x:c>
      <x:c r="U31" s="10" t="inlineStr">
        <x:is>
          <x:t xml:space="preserve">Lana mineral / EPS / barrera vapor</x:t>
        </x:is>
      </x:c>
      <x:c r="V31" s="9" t="inlineStr">
        <x:is>
          <x:t xml:space="preserve">Bastidor metálico o madera laminada</x:t>
        </x:is>
      </x:c>
      <x:c r="W31" s="10" t="inlineStr">
        <x:is>
          <x:t xml:space="preserve">Lana mineral 80-100 mm + fibrocemento</x:t>
        </x:is>
      </x:c>
      <x:c r="X31" s="9" t="inlineStr">
        <x:is>
          <x:t xml:space="preserve">PVC termopanel</x:t>
        </x:is>
      </x:c>
      <x:c r="Y31" s="9" t="inlineStr">
        <x:is>
          <x:t xml:space="preserve">Madera tratada</x:t>
        </x:is>
      </x:c>
      <x:c r="Z31" s="9" t="inlineStr">
        <x:is>
          <x:t xml:space="preserve">Yeso cartón RH</x:t>
        </x:is>
      </x:c>
      <x:c r="AA31" s="9" t="inlineStr">
        <x:is>
          <x:t xml:space="preserve">Radier</x:t>
        </x:is>
      </x:c>
      <x:c r="AB31" s="15" t="n">
        <x:v>5</x:v>
      </x:c>
      <x:c r="AC31" s="15" t="n">
        <x:v>9</x:v>
      </x:c>
      <x:c r="AD31" s="9" t="inlineStr">
        <x:is>
          <x:t xml:space="preserve">Oficina + vivienda</x:t>
        </x:is>
      </x:c>
      <x:c r="AE31" s="9" t="inlineStr">
        <x:is>
          <x:t xml:space="preserve">Norte árido / desértico</x:t>
        </x:is>
      </x:c>
      <x:c r="AF31" s="10" t="inlineStr">
        <x:is>
          <x:t xml:space="preserve">Criterios de prefabricación modular y coordinación BIM (referencial)</x:t>
        </x:is>
      </x:c>
      <x:c r="AG31" s="10" t="inlineStr">
        <x:is>
          <x:t xml:space="preserve">https://modul.cl/construccion-de-casas-prefabricadas-modulares/ | https://tecnofasthome.cl/casas-modulares/</x:t>
        </x:is>
      </x:c>
      <x:c r="AH31" s="10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160 mm; ventanas Aluminio termopanel; revestimiento exterior Madera tratada; interior Yeso cartón RH; fundación sugerida Dados de hormigón.</x:t>
        </x:is>
      </x:c>
    </x:row>
    <x:row r="32" ht="32" customHeight="1">
      <x:c r="A32" s="9" t="inlineStr">
        <x:is>
          <x:t xml:space="preserve">MOD-0031</x:t>
        </x:is>
      </x:c>
      <x:c r="B32" s="9" t="inlineStr">
        <x:is>
          <x:t xml:space="preserve">EMP-007</x:t>
        </x:is>
      </x:c>
      <x:c r="C32" s="9" t="inlineStr">
        <x:is>
          <x:t xml:space="preserve">Allipén 42</x:t>
        </x:is>
      </x:c>
      <x:c r="D32" s="9" t="inlineStr">
        <x:is>
          <x:t xml:space="preserve">Allipén</x:t>
        </x:is>
      </x:c>
      <x:c r="E32" s="9" t="inlineStr">
        <x:is>
          <x:t xml:space="preserve">Volcán</x:t>
        </x:is>
      </x:c>
      <x:c r="F32" s="9" t="inlineStr">
        <x:is>
          <x:t xml:space="preserve">Sí</x:t>
        </x:is>
      </x:c>
      <x:c r="G32" s="9" t="inlineStr">
        <x:is>
          <x:t xml:space="preserve">SIP</x:t>
        </x:is>
      </x:c>
      <x:c r="H32" s="15" t="n">
        <x:v>42</x:v>
      </x:c>
      <x:c r="I32" s="9" t="n">
        <x:v>1</x:v>
      </x:c>
      <x:c r="J32" s="9" t="n">
        <x:v>1</x:v>
      </x:c>
      <x:c r="K32" s="9" t="n">
        <x:v>1</x:v>
      </x:c>
      <x:c r="L32" s="9" t="n">
        <x:v>1</x:v>
      </x:c>
      <x:c r="M32" s="12" t="n">
        <x:v>2.4</x:v>
      </x:c>
      <x:c r="N32" s="9" t="inlineStr">
        <x:is>
          <x:t xml:space="preserve">Panel SIP estructural con uniones en pino seco</x:t>
        </x:is>
      </x:c>
      <x:c r="O32" s="10" t="inlineStr">
        <x:is>
          <x:t xml:space="preserve">2 placas OSB estructural + núcleo EPS alta densidad</x:t>
        </x:is>
      </x:c>
      <x:c r="P32" s="15" t="n">
        <x:v>75</x:v>
      </x:c>
      <x:c r="Q32" s="9" t="inlineStr">
        <x:is>
          <x:t xml:space="preserve">EPS alta densidad 15 kg/m³</x:t>
        </x:is>
      </x:c>
      <x:c r="R32" s="15" t="n">
        <x:v>105</x:v>
      </x:c>
      <x:c r="S32" s="10" t="inlineStr">
        <x:is>
          <x:t xml:space="preserve">Panel SIP de cubierta + membrana hidrófuga + hojalatería</x:t>
        </x:is>
      </x:c>
      <x:c r="T32" s="15" t="n">
        <x:v>114</x:v>
      </x:c>
      <x:c r="U32" s="10" t="inlineStr">
        <x:is>
          <x:t xml:space="preserve">EPS integrado + sellos PU</x:t>
        </x:is>
      </x:c>
      <x:c r="V32" s="9" t="inlineStr">
        <x:is>
          <x:t xml:space="preserve">Base entramado madera o radier con barrera de humedad</x:t>
        </x:is>
      </x:c>
      <x:c r="W32" s="10" t="inlineStr">
        <x:is>
          <x:t xml:space="preserve">Aislación bajo piso PET o lana mineral 50-100 mm</x:t>
        </x:is>
      </x:c>
      <x:c r="X32" s="9" t="inlineStr">
        <x:is>
          <x:t xml:space="preserve">Aluminio con termopanel</x:t>
        </x:is>
      </x:c>
      <x:c r="Y32" s="9" t="inlineStr">
        <x:is>
          <x:t xml:space="preserve">Madera tratada</x:t>
        </x:is>
      </x:c>
      <x:c r="Z32" s="9" t="inlineStr">
        <x:is>
          <x:t xml:space="preserve">Yeso cartón RH en zonas húmedas</x:t>
        </x:is>
      </x:c>
      <x:c r="AA32" s="9" t="inlineStr">
        <x:is>
          <x:t xml:space="preserve">Sobrecimientos y radier</x:t>
        </x:is>
      </x:c>
      <x:c r="AB32" s="15" t="n">
        <x:v>5</x:v>
      </x:c>
      <x:c r="AC32" s="15" t="n">
        <x:v>5</x:v>
      </x:c>
      <x:c r="AD32" s="9" t="inlineStr">
        <x:is>
          <x:t xml:space="preserve">Cabaña permanente</x:t>
        </x:is>
      </x:c>
      <x:c r="AE32" s="9" t="inlineStr">
        <x:is>
          <x:t xml:space="preserve">Norte árido / desértico</x:t>
        </x:is>
      </x:c>
      <x:c r="AF32" s="10" t="inlineStr">
        <x:is>
          <x:t xml:space="preserve">NCh3393:2016 (referencial para paneles SIP)</x:t>
        </x:is>
      </x:c>
      <x:c r="AG3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2" s="10" t="inlineStr">
        <x:is>
          <x:t xml:space="preserve">Estructura: Panel SIP estructural OSB/EPS/OSB; muros 2 placas OSB estructural + núcleo EPS alta densidad de 75 mm con aislación EPS alta densidad 15 kg/m³ (105 mm); cubierta Panel SIP de cubierta + membrana hidrófuga + hojalatería de 114 mm; ventanas PVC termopanel; revestimiento exterior Smart Panel; interior Yeso cartón RH en zonas húmedas; fundación sugerida Sobrecimientos y radier.</x:t>
        </x:is>
      </x:c>
    </x:row>
    <x:row r="33" ht="32" customHeight="1">
      <x:c r="A33" s="9" t="inlineStr">
        <x:is>
          <x:t xml:space="preserve">MOD-0032</x:t>
        </x:is>
      </x:c>
      <x:c r="B33" s="9" t="inlineStr">
        <x:is>
          <x:t xml:space="preserve">EMP-007</x:t>
        </x:is>
      </x:c>
      <x:c r="C33" s="9" t="inlineStr">
        <x:is>
          <x:t xml:space="preserve">Pilmaiquén 88</x:t>
        </x:is>
      </x:c>
      <x:c r="D33" s="9" t="inlineStr">
        <x:is>
          <x:t xml:space="preserve">Pilmaiquén</x:t>
        </x:is>
      </x:c>
      <x:c r="E33" s="9" t="inlineStr">
        <x:is>
          <x:t xml:space="preserve">Volcán</x:t>
        </x:is>
      </x:c>
      <x:c r="F33" s="9" t="inlineStr">
        <x:is>
          <x:t xml:space="preserve">Sí</x:t>
        </x:is>
      </x:c>
      <x:c r="G33" s="9" t="inlineStr">
        <x:is>
          <x:t xml:space="preserve">STEEL_FRAME</x:t>
        </x:is>
      </x:c>
      <x:c r="H33" s="15" t="n">
        <x:v>88</x:v>
      </x:c>
      <x:c r="I33" s="9" t="n">
        <x:v>3</x:v>
      </x:c>
      <x:c r="J33" s="9" t="n">
        <x:v>2</x:v>
      </x:c>
      <x:c r="K33" s="9" t="n">
        <x:v>1</x:v>
      </x:c>
      <x:c r="L33" s="9" t="n">
        <x:v>3</x:v>
      </x:c>
      <x:c r="M33" s="12" t="n">
        <x:v>2.4</x:v>
      </x:c>
      <x:c r="N33" s="9" t="inlineStr">
        <x:is>
          <x:t xml:space="preserve">Panelizado steel frame industrializado</x:t>
        </x:is>
      </x:c>
      <x:c r="O33" s="10" t="inlineStr">
        <x:is>
          <x:t xml:space="preserve">Acero galvanizado + placa OSB/fibrocemento + cámara técnica</x:t>
        </x:is>
      </x:c>
      <x:c r="P33" s="15" t="n">
        <x:v>90</x:v>
      </x:c>
      <x:c r="Q33" s="9" t="inlineStr">
        <x:is>
          <x:t xml:space="preserve">Lana mineral o lana de roca / PET / EPS según zona térmica</x:t>
        </x:is>
      </x:c>
      <x:c r="R33" s="15" t="n">
        <x:v>90</x:v>
      </x:c>
      <x:c r="S33" s="10" t="inlineStr">
        <x:is>
          <x:t xml:space="preserve">Cerchas o paneles steel frame + cubierta metálica</x:t>
        </x:is>
      </x:c>
      <x:c r="T33" s="15" t="n">
        <x:v>120</x:v>
      </x:c>
      <x:c r="U33" s="10" t="inlineStr">
        <x:is>
          <x:t xml:space="preserve">Lana mineral / lana de roca + barrera de vapor</x:t>
        </x:is>
      </x:c>
      <x:c r="V33" s="9" t="inlineStr">
        <x:is>
          <x:t xml:space="preserve">Envigado metálico o plataforma estructural</x:t>
        </x:is>
      </x:c>
      <x:c r="W33" s="10" t="inlineStr">
        <x:is>
          <x:t xml:space="preserve">Lana mineral 50-100 mm + placas estructurales</x:t>
        </x:is>
      </x:c>
      <x:c r="X33" s="9" t="inlineStr">
        <x:is>
          <x:t xml:space="preserve">PVC termopanel</x:t>
        </x:is>
      </x:c>
      <x:c r="Y33" s="9" t="inlineStr">
        <x:is>
          <x:t xml:space="preserve">Estuco sobre placa cementicia</x:t>
        </x:is>
      </x:c>
      <x:c r="Z33" s="9" t="inlineStr">
        <x:is>
          <x:t xml:space="preserve">MDF pintado</x:t>
        </x:is>
      </x:c>
      <x:c r="AA33" s="9" t="inlineStr">
        <x:is>
          <x:t xml:space="preserve">Radier reforzado</x:t>
        </x:is>
      </x:c>
      <x:c r="AB33" s="15" t="n">
        <x:v>6</x:v>
      </x:c>
      <x:c r="AC33" s="15" t="n">
        <x:v>7</x:v>
      </x:c>
      <x:c r="AD33" s="9" t="inlineStr">
        <x:is>
          <x:t xml:space="preserve">Parcela</x:t>
        </x:is>
      </x:c>
      <x:c r="AE33" s="9" t="inlineStr">
        <x:is>
          <x:t xml:space="preserve">Norte árido / desértico</x:t>
        </x:is>
      </x:c>
      <x:c r="AF33" s="10" t="inlineStr">
        <x:is>
          <x:t xml:space="preserve">Criterio térmico referencial OGUC / reglamentación térmica vigente</x:t>
        </x:is>
      </x:c>
      <x:c r="AG33" s="10" t="inlineStr">
        <x:is>
          <x:t xml:space="preserve">https://www.steelframe.cl/ | https://vhaceros.cl/blog/steel-framing-principios-estructurales-y-ventajas-en-la-construccion-chilena/</x:t>
        </x:is>
      </x:c>
      <x:c r="AH33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120 mm; ventanas Aluminio RPT termopanel; revestimiento exterior Plancha metálica; interior MDF pintado; fundación sugerida Vigas de fundación y radier.</x:t>
        </x:is>
      </x:c>
    </x:row>
    <x:row r="34" ht="32" customHeight="1">
      <x:c r="A34" s="9" t="inlineStr">
        <x:is>
          <x:t xml:space="preserve">MOD-0033</x:t>
        </x:is>
      </x:c>
      <x:c r="B34" s="9" t="inlineStr">
        <x:is>
          <x:t xml:space="preserve">EMP-007</x:t>
        </x:is>
      </x:c>
      <x:c r="C34" s="9" t="inlineStr">
        <x:is>
          <x:t xml:space="preserve">Cruces 88</x:t>
        </x:is>
      </x:c>
      <x:c r="D34" s="9" t="inlineStr">
        <x:is>
          <x:t xml:space="preserve">Cruces</x:t>
        </x:is>
      </x:c>
      <x:c r="E34" s="9" t="inlineStr">
        <x:is>
          <x:t xml:space="preserve">Archipiélago</x:t>
        </x:is>
      </x:c>
      <x:c r="F34" s="9" t="inlineStr">
        <x:is>
          <x:t xml:space="preserve">Sí</x:t>
        </x:is>
      </x:c>
      <x:c r="G34" s="9" t="inlineStr">
        <x:is>
          <x:t xml:space="preserve">SIP</x:t>
        </x:is>
      </x:c>
      <x:c r="H34" s="15" t="n">
        <x:v>88</x:v>
      </x:c>
      <x:c r="I34" s="9" t="n">
        <x:v>3</x:v>
      </x:c>
      <x:c r="J34" s="9" t="n">
        <x:v>2</x:v>
      </x:c>
      <x:c r="K34" s="9" t="n">
        <x:v>1</x:v>
      </x:c>
      <x:c r="L34" s="9" t="n">
        <x:v>3</x:v>
      </x:c>
      <x:c r="M34" s="12" t="n">
        <x:v>2.5</x:v>
      </x:c>
      <x:c r="N34" s="9" t="inlineStr">
        <x:is>
          <x:t xml:space="preserve">Panel SIP estructural con uniones en pino seco</x:t>
        </x:is>
      </x:c>
      <x:c r="O34" s="10" t="inlineStr">
        <x:is>
          <x:t xml:space="preserve">2 placas OSB estructural + núcleo EPS alta densidad</x:t>
        </x:is>
      </x:c>
      <x:c r="P34" s="15" t="n">
        <x:v>130</x:v>
      </x:c>
      <x:c r="Q34" s="9" t="inlineStr">
        <x:is>
          <x:t xml:space="preserve">EPS alta densidad 15 kg/m³</x:t>
        </x:is>
      </x:c>
      <x:c r="R34" s="15" t="n">
        <x:v>68</x:v>
      </x:c>
      <x:c r="S34" s="10" t="inlineStr">
        <x:is>
          <x:t xml:space="preserve">Panel SIP de cubierta + membrana hidrófuga + hojalatería</x:t>
        </x:is>
      </x:c>
      <x:c r="T34" s="15" t="n">
        <x:v>164</x:v>
      </x:c>
      <x:c r="U34" s="10" t="inlineStr">
        <x:is>
          <x:t xml:space="preserve">EPS integrado + sellos PU</x:t>
        </x:is>
      </x:c>
      <x:c r="V34" s="9" t="inlineStr">
        <x:is>
          <x:t xml:space="preserve">Base entramado madera o radier con barrera de humedad</x:t>
        </x:is>
      </x:c>
      <x:c r="W34" s="10" t="inlineStr">
        <x:is>
          <x:t xml:space="preserve">Aislación bajo piso PET o lana mineral 50-100 mm</x:t>
        </x:is>
      </x:c>
      <x:c r="X34" s="9" t="inlineStr">
        <x:is>
          <x:t xml:space="preserve">PVC termopanel</x:t>
        </x:is>
      </x:c>
      <x:c r="Y34" s="9" t="inlineStr">
        <x:is>
          <x:t xml:space="preserve">Madera tratada</x:t>
        </x:is>
      </x:c>
      <x:c r="Z34" s="9" t="inlineStr">
        <x:is>
          <x:t xml:space="preserve">MDF en zonas secas</x:t>
        </x:is>
      </x:c>
      <x:c r="AA34" s="9" t="inlineStr">
        <x:is>
          <x:t xml:space="preserve">Pilotes metálicos</x:t>
        </x:is>
      </x:c>
      <x:c r="AB34" s="15" t="n">
        <x:v>3</x:v>
      </x:c>
      <x:c r="AC34" s="15" t="n">
        <x:v>8</x:v>
      </x:c>
      <x:c r="AD34" s="9" t="inlineStr">
        <x:is>
          <x:t xml:space="preserve">Segunda vivienda</x:t>
        </x:is>
      </x:c>
      <x:c r="AE34" s="9" t="inlineStr">
        <x:is>
          <x:t xml:space="preserve">Norte árido / desértico</x:t>
        </x:is>
      </x:c>
      <x:c r="AF34" s="10" t="inlineStr">
        <x:is>
          <x:t xml:space="preserve">NCh3393:2016 (referencial para paneles SIP)</x:t>
        </x:is>
      </x:c>
      <x:c r="AG3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4" s="10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164 mm; ventanas PVC DVH; revestimiento exterior Madera tratada; interior OSB sellado y pintado; fundación sugerida Radier afinado.</x:t>
        </x:is>
      </x:c>
    </x:row>
    <x:row r="35" ht="32" customHeight="1">
      <x:c r="A35" s="9" t="inlineStr">
        <x:is>
          <x:t xml:space="preserve">MOD-0034</x:t>
        </x:is>
      </x:c>
      <x:c r="B35" s="9" t="inlineStr">
        <x:is>
          <x:t xml:space="preserve">EMP-007</x:t>
        </x:is>
      </x:c>
      <x:c r="C35" s="9" t="inlineStr">
        <x:is>
          <x:t xml:space="preserve">Cisnes 120</x:t>
        </x:is>
      </x:c>
      <x:c r="D35" s="9" t="inlineStr">
        <x:is>
          <x:t xml:space="preserve">Cisnes</x:t>
        </x:is>
      </x:c>
      <x:c r="E35" s="9" t="inlineStr">
        <x:is>
          <x:t xml:space="preserve">Volcán</x:t>
        </x:is>
      </x:c>
      <x:c r="F35" s="9" t="inlineStr">
        <x:is>
          <x:t xml:space="preserve">Sí</x:t>
        </x:is>
      </x:c>
      <x:c r="G35" s="9" t="inlineStr">
        <x:is>
          <x:t xml:space="preserve">CONTAINER</x:t>
        </x:is>
      </x:c>
      <x:c r="H35" s="15" t="n">
        <x:v>120</x:v>
      </x:c>
      <x:c r="I35" s="9" t="n">
        <x:v>3</x:v>
      </x:c>
      <x:c r="J35" s="9" t="n">
        <x:v>2</x:v>
      </x:c>
      <x:c r="K35" s="9" t="n">
        <x:v>1</x:v>
      </x:c>
      <x:c r="L35" s="9" t="n">
        <x:v>3</x:v>
      </x:c>
      <x:c r="M35" s="12" t="n">
        <x:v>2.35</x:v>
      </x:c>
      <x:c r="N35" s="9" t="inlineStr">
        <x:is>
          <x:t xml:space="preserve">Módulo habitacional de acero galvanizado / corten</x:t>
        </x:is>
      </x:c>
      <x:c r="O35" s="10" t="inlineStr">
        <x:is>
          <x:t xml:space="preserve">Estructura container + subestructura interior + revestimiento</x:t>
        </x:is>
      </x:c>
      <x:c r="P35" s="15" t="n">
        <x:v>90</x:v>
      </x:c>
      <x:c r="Q35" s="9" t="inlineStr">
        <x:is>
          <x:t xml:space="preserve">Poliuretano proyectado o EPS/Aislapol 40-60 mm</x:t>
        </x:is>
      </x:c>
      <x:c r="R35" s="15" t="n">
        <x:v>40</x:v>
      </x:c>
      <x:c r="S35" s="10" t="inlineStr">
        <x:is>
          <x:t xml:space="preserve">Cubierta metálica container + sobretecho ventilado opcional</x:t>
        </x:is>
      </x:c>
      <x:c r="T35" s="15" t="n">
        <x:v>80</x:v>
      </x:c>
      <x:c r="U35" s="10" t="inlineStr">
        <x:is>
          <x:t xml:space="preserve">Poliuretano / EPS + barrera anticondensación</x:t>
        </x:is>
      </x:c>
      <x:c r="V35" s="9" t="inlineStr">
        <x:is>
          <x:t xml:space="preserve">Piso terciado 18 mm o base original acondicionada + vinílico</x:t>
        </x:is>
      </x:c>
      <x:c r="W35" s="10" t="inlineStr">
        <x:is>
          <x:t xml:space="preserve">Aislación bajo piso 40-80 mm</x:t>
        </x:is>
      </x:c>
      <x:c r="X35" s="9" t="inlineStr">
        <x:is>
          <x:t xml:space="preserve">Aluminio termopanel</x:t>
        </x:is>
      </x:c>
      <x:c r="Y35" s="9" t="inlineStr">
        <x:is>
          <x:t xml:space="preserve">Plancha metálica prepintada</x:t>
        </x:is>
      </x:c>
      <x:c r="Z35" s="9" t="inlineStr">
        <x:is>
          <x:t xml:space="preserve">Yeso cartón</x:t>
        </x:is>
      </x:c>
      <x:c r="AA35" s="9" t="inlineStr">
        <x:is>
          <x:t xml:space="preserve">Dados de hormigón</x:t>
        </x:is>
      </x:c>
      <x:c r="AB35" s="15" t="n">
        <x:v>4</x:v>
      </x:c>
      <x:c r="AC35" s="15" t="n">
        <x:v>2</x:v>
      </x:c>
      <x:c r="AD35" s="9" t="inlineStr">
        <x:is>
          <x:t xml:space="preserve">Segunda vivienda</x:t>
        </x:is>
      </x:c>
      <x:c r="AE35" s="9" t="inlineStr">
        <x:is>
          <x:t xml:space="preserve">Norte árido / desértico</x:t>
        </x:is>
      </x:c>
      <x:c r="AF35" s="10" t="inlineStr">
        <x:is>
          <x:t xml:space="preserve">Criterios de aislación, ventilación y tratamiento anticorrosivo (referencial)</x:t>
        </x:is>
      </x:c>
      <x:c r="AG35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35" s="10" t="inlineStr">
        <x:is>
          <x:t xml:space="preserve">Estructura: Módulo habitacional de acero galvanizado / corten; muros Estructura container + subestructura interior + revestimiento de 90 mm con aislación Poliuretano proyectado o EPS/Aislapol 40-60 mm (40 mm); cubierta Cubierta metálica container + sobretecho ventilado opcional de 80 mm; ventanas Aluminio termopanel; revestimiento exterior Plancha metálica prepintada; interior Madera pintada; fundación sugerida Radier.</x:t>
        </x:is>
      </x:c>
    </x:row>
    <x:row r="36" ht="32" customHeight="1">
      <x:c r="A36" s="9" t="inlineStr">
        <x:is>
          <x:t xml:space="preserve">MOD-0035</x:t>
        </x:is>
      </x:c>
      <x:c r="B36" s="9" t="inlineStr">
        <x:is>
          <x:t xml:space="preserve">EMP-007</x:t>
        </x:is>
      </x:c>
      <x:c r="C36" s="9" t="inlineStr">
        <x:is>
          <x:t xml:space="preserve">Aysén 176</x:t>
        </x:is>
      </x:c>
      <x:c r="D36" s="9" t="inlineStr">
        <x:is>
          <x:t xml:space="preserve">Aysén</x:t>
        </x:is>
      </x:c>
      <x:c r="E36" s="9" t="inlineStr">
        <x:is>
          <x:t xml:space="preserve">Valle</x:t>
        </x:is>
      </x:c>
      <x:c r="F36" s="9" t="inlineStr">
        <x:is>
          <x:t xml:space="preserve">Sí</x:t>
        </x:is>
      </x:c>
      <x:c r="G36" s="9" t="inlineStr">
        <x:is>
          <x:t xml:space="preserve">HYBRID_MODULAR</x:t>
        </x:is>
      </x:c>
      <x:c r="H36" s="15" t="n">
        <x:v>176</x:v>
      </x:c>
      <x:c r="I36" s="9" t="n">
        <x:v>4</x:v>
      </x:c>
      <x:c r="J36" s="9" t="n">
        <x:v>3</x:v>
      </x:c>
      <x:c r="K36" s="9" t="n">
        <x:v>1</x:v>
      </x:c>
      <x:c r="L36" s="9" t="n">
        <x:v>4</x:v>
      </x:c>
      <x:c r="M36" s="12" t="n">
        <x:v>2.5</x:v>
      </x:c>
      <x:c r="N36" s="9" t="inlineStr">
        <x:is>
          <x:t xml:space="preserve">Módulos de acero + paneles SIP</x:t>
        </x:is>
      </x:c>
      <x:c r="O36" s="10" t="inlineStr">
        <x:is>
          <x:t xml:space="preserve">Acero galvanizado o madera laminada + panel SIP MgO/OSB</x:t>
        </x:is>
      </x:c>
      <x:c r="P36" s="15" t="n">
        <x:v>160</x:v>
      </x:c>
      <x:c r="Q36" s="9" t="inlineStr">
        <x:is>
          <x:t xml:space="preserve">Lana mineral 75-100 mm o EPS integrado</x:t>
        </x:is>
      </x:c>
      <x:c r="R36" s="15" t="n">
        <x:v>75</x:v>
      </x:c>
      <x:c r="S36" s="10" t="inlineStr">
        <x:is>
          <x:t xml:space="preserve">Módulo volumétrico con cubierta panelizada</x:t>
        </x:is>
      </x:c>
      <x:c r="T36" s="15" t="n">
        <x:v>160</x:v>
      </x:c>
      <x:c r="U36" s="10" t="inlineStr">
        <x:is>
          <x:t xml:space="preserve">Lana mineral / EPS / barrera vapor</x:t>
        </x:is>
      </x:c>
      <x:c r="V36" s="9" t="inlineStr">
        <x:is>
          <x:t xml:space="preserve">Bastidor metálico o madera laminada</x:t>
        </x:is>
      </x:c>
      <x:c r="W36" s="10" t="inlineStr">
        <x:is>
          <x:t xml:space="preserve">Lana mineral 80-100 mm + fibrocemento</x:t>
        </x:is>
      </x:c>
      <x:c r="X36" s="9" t="inlineStr">
        <x:is>
          <x:t xml:space="preserve">PVC termopanel</x:t>
        </x:is>
      </x:c>
      <x:c r="Y36" s="9" t="inlineStr">
        <x:is>
          <x:t xml:space="preserve">Madera tratada</x:t>
        </x:is>
      </x:c>
      <x:c r="Z36" s="9" t="inlineStr">
        <x:is>
          <x:t xml:space="preserve">Melamina blanca</x:t>
        </x:is>
      </x:c>
      <x:c r="AA36" s="9" t="inlineStr">
        <x:is>
          <x:t xml:space="preserve">Pilotes ajustables</x:t>
        </x:is>
      </x:c>
      <x:c r="AB36" s="15" t="n">
        <x:v>7</x:v>
      </x:c>
      <x:c r="AC36" s="15" t="n">
        <x:v>9</x:v>
      </x:c>
      <x:c r="AD36" s="9" t="inlineStr">
        <x:is>
          <x:t xml:space="preserve">Parcela</x:t>
        </x:is>
      </x:c>
      <x:c r="AE36" s="9" t="inlineStr">
        <x:is>
          <x:t xml:space="preserve">Norte árido / desértico</x:t>
        </x:is>
      </x:c>
      <x:c r="AF36" s="10" t="inlineStr">
        <x:is>
          <x:t xml:space="preserve">Criterios de prefabricación modular y coordinación BIM (referencial)</x:t>
        </x:is>
      </x:c>
      <x:c r="AG36" s="10" t="inlineStr">
        <x:is>
          <x:t xml:space="preserve">https://modul.cl/construccion-de-casas-prefabricadas-modulares/ | https://tecnofasthome.cl/casas-modulares/</x:t>
        </x:is>
      </x:c>
      <x:c r="AH36" s="10" t="inlineStr">
        <x:is>
          <x:t xml:space="preserve">Estructura: Módulos de acero + paneles SIP; muros Acero galvanizado o madera laminada + panel SIP MgO/OSB de 160 mm con aislación Lana mineral 75-100 mm o EPS integrado (75 mm); cubierta Módulo volumétrico con cubierta panelizada de 160 mm; ventanas Aluminio termopanel; revestimiento exterior Plancha metálica; interior Melamina blanca; fundación sugerida Dados de hormigón.</x:t>
        </x:is>
      </x:c>
    </x:row>
    <x:row r="37" ht="32" customHeight="1">
      <x:c r="A37" s="9" t="inlineStr">
        <x:is>
          <x:t xml:space="preserve">MOD-0036</x:t>
        </x:is>
      </x:c>
      <x:c r="B37" s="9" t="inlineStr">
        <x:is>
          <x:t xml:space="preserve">EMP-008</x:t>
        </x:is>
      </x:c>
      <x:c r="C37" s="9" t="inlineStr">
        <x:is>
          <x:t xml:space="preserve">Chelenko 66</x:t>
        </x:is>
      </x:c>
      <x:c r="D37" s="9" t="inlineStr">
        <x:is>
          <x:t xml:space="preserve">Chelenko</x:t>
        </x:is>
      </x:c>
      <x:c r="E37" s="9" t="inlineStr">
        <x:is>
          <x:t xml:space="preserve">Lago</x:t>
        </x:is>
      </x:c>
      <x:c r="F37" s="9" t="inlineStr">
        <x:is>
          <x:t xml:space="preserve">Sí</x:t>
        </x:is>
      </x:c>
      <x:c r="G37" s="9" t="inlineStr">
        <x:is>
          <x:t xml:space="preserve">MODULAR_TIMBER</x:t>
        </x:is>
      </x:c>
      <x:c r="H37" s="15" t="n">
        <x:v>66</x:v>
      </x:c>
      <x:c r="I37" s="9" t="n">
        <x:v>2</x:v>
      </x:c>
      <x:c r="J37" s="9" t="n">
        <x:v>2</x:v>
      </x:c>
      <x:c r="K37" s="9" t="n">
        <x:v>1</x:v>
      </x:c>
      <x:c r="L37" s="9" t="n">
        <x:v>2</x:v>
      </x:c>
      <x:c r="M37" s="12" t="n">
        <x:v>2.45</x:v>
      </x:c>
      <x:c r="N37" s="9" t="inlineStr">
        <x:is>
          <x:t xml:space="preserve">Entramado ligero en pino impregnado</x:t>
        </x:is>
      </x:c>
      <x:c r="O37" s="10" t="inlineStr">
        <x:is>
          <x:t xml:space="preserve">Madera estructural + OSB / terciado + barrera hidrófuga</x:t>
        </x:is>
      </x:c>
      <x:c r="P37" s="15" t="n">
        <x:v>140</x:v>
      </x:c>
      <x:c r="Q37" s="9" t="inlineStr">
        <x:is>
          <x:t xml:space="preserve">Lana mineral / lana de vidrio / PET reciclado</x:t>
        </x:is>
      </x:c>
      <x:c r="R37" s="15" t="n">
        <x:v>100</x:v>
      </x:c>
      <x:c r="S37" s="10" t="inlineStr">
        <x:is>
          <x:t xml:space="preserve">Cercha de madera + cubierta metálica o tejuela asfáltica</x:t>
        </x:is>
      </x:c>
      <x:c r="T37" s="15" t="n">
        <x:v>150</x:v>
      </x:c>
      <x:c r="U37" s="10" t="inlineStr">
        <x:is>
          <x:t xml:space="preserve">Lana mineral 80-140 mm + membrana</x:t>
        </x:is>
      </x:c>
      <x:c r="V37" s="9" t="inlineStr">
        <x:is>
          <x:t xml:space="preserve">Plataforma de madera estructural o radier</x:t>
        </x:is>
      </x:c>
      <x:c r="W37" s="10" t="inlineStr">
        <x:is>
          <x:t xml:space="preserve">Lana mineral 50-100 mm / barrera humedad</x:t>
        </x:is>
      </x:c>
      <x:c r="X37" s="9" t="inlineStr">
        <x:is>
          <x:t xml:space="preserve">Aluminio termopanel</x:t>
        </x:is>
      </x:c>
      <x:c r="Y37" s="9" t="inlineStr">
        <x:is>
          <x:t xml:space="preserve">Siding fibrocemento</x:t>
        </x:is>
      </x:c>
      <x:c r="Z37" s="9" t="inlineStr">
        <x:is>
          <x:t xml:space="preserve">Terciado pintado</x:t>
        </x:is>
      </x:c>
      <x:c r="AA37" s="9" t="inlineStr">
        <x:is>
          <x:t xml:space="preserve">Pilotes</x:t>
        </x:is>
      </x:c>
      <x:c r="AB37" s="15" t="n">
        <x:v>7</x:v>
      </x:c>
      <x:c r="AC37" s="15" t="n">
        <x:v>15</x:v>
      </x:c>
      <x:c r="AD37" s="9" t="inlineStr">
        <x:is>
          <x:t xml:space="preserve">Turismo / arriendo</x:t>
        </x:is>
      </x:c>
      <x:c r="AE37" s="9" t="inlineStr">
        <x:is>
          <x:t xml:space="preserve">Centro templado</x:t>
        </x:is>
      </x:c>
      <x:c r="AF37" s="10" t="inlineStr">
        <x:is>
          <x:t xml:space="preserve">Especificaciones técnicas de vivienda industrializada en madera (referencial)</x:t>
        </x:is>
      </x:c>
      <x:c r="AG37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37" s="10" t="inlineStr">
        <x:is>
          <x:t xml:space="preserve">Estructura: Madera laminada y entramado ligero; muros Madera estructural + OSB / terciado + barrera hidrófuga de 140 mm con aislación Lana mineral / lana de vidrio / PET reciclado (100 mm); cubierta Cercha de madera + cubierta metálica o tejuela asfáltica de 150 mm; ventanas Aluminio termopanel; revestimiento exterior Smart Panel; interior Yeso cartón; fundación sugerida Radier.</x:t>
        </x:is>
      </x:c>
    </x:row>
    <x:row r="38" ht="32" customHeight="1">
      <x:c r="A38" s="9" t="inlineStr">
        <x:is>
          <x:t xml:space="preserve">MOD-0037</x:t>
        </x:is>
      </x:c>
      <x:c r="B38" s="9" t="inlineStr">
        <x:is>
          <x:t xml:space="preserve">EMP-008</x:t>
        </x:is>
      </x:c>
      <x:c r="C38" s="9" t="inlineStr">
        <x:is>
          <x:t xml:space="preserve">Camiña 104</x:t>
        </x:is>
      </x:c>
      <x:c r="D38" s="9" t="inlineStr">
        <x:is>
          <x:t xml:space="preserve">Camiña</x:t>
        </x:is>
      </x:c>
      <x:c r="E38" s="9" t="inlineStr">
        <x:is>
          <x:t xml:space="preserve">Valle</x:t>
        </x:is>
      </x:c>
      <x:c r="F38" s="9" t="inlineStr">
        <x:is>
          <x:t xml:space="preserve">Sí</x:t>
        </x:is>
      </x:c>
      <x:c r="G38" s="9" t="inlineStr">
        <x:is>
          <x:t xml:space="preserve">MODULAR_TIMBER</x:t>
        </x:is>
      </x:c>
      <x:c r="H38" s="15" t="n">
        <x:v>104</x:v>
      </x:c>
      <x:c r="I38" s="9" t="n">
        <x:v>3</x:v>
      </x:c>
      <x:c r="J38" s="9" t="n">
        <x:v>2</x:v>
      </x:c>
      <x:c r="K38" s="9" t="n">
        <x:v>1</x:v>
      </x:c>
      <x:c r="L38" s="9" t="n">
        <x:v>3</x:v>
      </x:c>
      <x:c r="M38" s="12" t="n">
        <x:v>2.5</x:v>
      </x:c>
      <x:c r="N38" s="9" t="inlineStr">
        <x:is>
          <x:t xml:space="preserve">Wood frame modular</x:t>
        </x:is>
      </x:c>
      <x:c r="O38" s="10" t="inlineStr">
        <x:is>
          <x:t xml:space="preserve">Madera estructural + OSB / terciado + barrera hidrófuga</x:t>
        </x:is>
      </x:c>
      <x:c r="P38" s="15" t="n">
        <x:v>89</x:v>
      </x:c>
      <x:c r="Q38" s="9" t="inlineStr">
        <x:is>
          <x:t xml:space="preserve">Lana mineral / lana de vidrio / PET reciclado</x:t>
        </x:is>
      </x:c>
      <x:c r="R38" s="15" t="n">
        <x:v>90</x:v>
      </x:c>
      <x:c r="S38" s="10" t="inlineStr">
        <x:is>
          <x:t xml:space="preserve">Cercha de madera + cubierta metálica o tejuela asfáltica</x:t>
        </x:is>
      </x:c>
      <x:c r="T38" s="15" t="n">
        <x:v>120</x:v>
      </x:c>
      <x:c r="U38" s="10" t="inlineStr">
        <x:is>
          <x:t xml:space="preserve">Lana mineral 80-140 mm + membrana</x:t>
        </x:is>
      </x:c>
      <x:c r="V38" s="9" t="inlineStr">
        <x:is>
          <x:t xml:space="preserve">Plataforma de madera estructural o radier</x:t>
        </x:is>
      </x:c>
      <x:c r="W38" s="10" t="inlineStr">
        <x:is>
          <x:t xml:space="preserve">Lana mineral 50-100 mm / barrera humedad</x:t>
        </x:is>
      </x:c>
      <x:c r="X38" s="9" t="inlineStr">
        <x:is>
          <x:t xml:space="preserve">PVC termopanel</x:t>
        </x:is>
      </x:c>
      <x:c r="Y38" s="9" t="inlineStr">
        <x:is>
          <x:t xml:space="preserve">Siding fibrocemento</x:t>
        </x:is>
      </x:c>
      <x:c r="Z38" s="9" t="inlineStr">
        <x:is>
          <x:t xml:space="preserve">Yeso cartón</x:t>
        </x:is>
      </x:c>
      <x:c r="AA38" s="9" t="inlineStr">
        <x:is>
          <x:t xml:space="preserve">Fundación corrida</x:t>
        </x:is>
      </x:c>
      <x:c r="AB38" s="15" t="n">
        <x:v>5</x:v>
      </x:c>
      <x:c r="AC38" s="15" t="n">
        <x:v>11</x:v>
      </x:c>
      <x:c r="AD38" s="9" t="inlineStr">
        <x:is>
          <x:t xml:space="preserve">Oficina + vivienda</x:t>
        </x:is>
      </x:c>
      <x:c r="AE38" s="9" t="inlineStr">
        <x:is>
          <x:t xml:space="preserve">Centro templado</x:t>
        </x:is>
      </x:c>
      <x:c r="AF38" s="10" t="inlineStr">
        <x:is>
          <x:t xml:space="preserve">Especificaciones técnicas de vivienda industrializada en madera (referencial)</x:t>
        </x:is>
      </x:c>
      <x:c r="AG38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38" s="10" t="inlineStr">
        <x:is>
          <x:t xml:space="preserve">Estructura: Wood frame modular; muros Madera estructural + OSB / terciado + barrera hidrófuga de 89 mm con aislación Lana mineral / lana de vidrio / PET reciclado (90 mm); cubierta Cercha de madera + cubierta metálica o tejuela asfáltica de 120 mm; ventanas PVC termopanel; revestimiento exterior Siding fibrocemento; interior Yeso cartón; fundación sugerida Pilotes.</x:t>
        </x:is>
      </x:c>
    </x:row>
    <x:row r="39" ht="32" customHeight="1">
      <x:c r="A39" s="9" t="inlineStr">
        <x:is>
          <x:t xml:space="preserve">MOD-0038</x:t>
        </x:is>
      </x:c>
      <x:c r="B39" s="9" t="inlineStr">
        <x:is>
          <x:t xml:space="preserve">EMP-008</x:t>
        </x:is>
      </x:c>
      <x:c r="C39" s="9" t="inlineStr">
        <x:is>
          <x:t xml:space="preserve">Linares 88</x:t>
        </x:is>
      </x:c>
      <x:c r="D39" s="9" t="inlineStr">
        <x:is>
          <x:t xml:space="preserve">Linares</x:t>
        </x:is>
      </x:c>
      <x:c r="E39" s="9" t="inlineStr">
        <x:is>
          <x:t xml:space="preserve">Lago</x:t>
        </x:is>
      </x:c>
      <x:c r="F39" s="9" t="inlineStr">
        <x:is>
          <x:t xml:space="preserve">Sí</x:t>
        </x:is>
      </x:c>
      <x:c r="G39" s="9" t="inlineStr">
        <x:is>
          <x:t xml:space="preserve">SIP</x:t>
        </x:is>
      </x:c>
      <x:c r="H39" s="15" t="n">
        <x:v>88</x:v>
      </x:c>
      <x:c r="I39" s="9" t="n">
        <x:v>3</x:v>
      </x:c>
      <x:c r="J39" s="9" t="n">
        <x:v>2</x:v>
      </x:c>
      <x:c r="K39" s="9" t="n">
        <x:v>1</x:v>
      </x:c>
      <x:c r="L39" s="9" t="n">
        <x:v>3</x:v>
      </x:c>
      <x:c r="M39" s="12" t="n">
        <x:v>2.35</x:v>
      </x:c>
      <x:c r="N39" s="9" t="inlineStr">
        <x:is>
          <x:t xml:space="preserve">Panel SIP estructural con uniones en pino seco</x:t>
        </x:is>
      </x:c>
      <x:c r="O39" s="10" t="inlineStr">
        <x:is>
          <x:t xml:space="preserve">2 placas OSB estructural + núcleo EPS alta densidad</x:t>
        </x:is>
      </x:c>
      <x:c r="P39" s="15" t="n">
        <x:v>90</x:v>
      </x:c>
      <x:c r="Q39" s="9" t="inlineStr">
        <x:is>
          <x:t xml:space="preserve">EPS alta densidad 15 kg/m³</x:t>
        </x:is>
      </x:c>
      <x:c r="R39" s="15" t="n">
        <x:v>105</x:v>
      </x:c>
      <x:c r="S39" s="10" t="inlineStr">
        <x:is>
          <x:t xml:space="preserve">Panel SIP de cubierta + membrana hidrófuga + hojalatería</x:t>
        </x:is>
      </x:c>
      <x:c r="T39" s="15" t="n">
        <x:v>114</x:v>
      </x:c>
      <x:c r="U39" s="10" t="inlineStr">
        <x:is>
          <x:t xml:space="preserve">EPS integrado + sellos PU</x:t>
        </x:is>
      </x:c>
      <x:c r="V39" s="9" t="inlineStr">
        <x:is>
          <x:t xml:space="preserve">Base entramado madera o radier con barrera de humedad</x:t>
        </x:is>
      </x:c>
      <x:c r="W39" s="10" t="inlineStr">
        <x:is>
          <x:t xml:space="preserve">Aislación bajo piso PET o lana mineral 50-100 mm</x:t>
        </x:is>
      </x:c>
      <x:c r="X39" s="9" t="inlineStr">
        <x:is>
          <x:t xml:space="preserve">Aluminio con termopanel</x:t>
        </x:is>
      </x:c>
      <x:c r="Y39" s="9" t="inlineStr">
        <x:is>
          <x:t xml:space="preserve">Smart Panel</x:t>
        </x:is>
      </x:c>
      <x:c r="Z39" s="9" t="inlineStr">
        <x:is>
          <x:t xml:space="preserve">Yeso cartón RH en zonas húmedas</x:t>
        </x:is>
      </x:c>
      <x:c r="AA39" s="9" t="inlineStr">
        <x:is>
          <x:t xml:space="preserve">Sobrecimientos y radier</x:t>
        </x:is>
      </x:c>
      <x:c r="AB39" s="15" t="n">
        <x:v>5</x:v>
      </x:c>
      <x:c r="AC39" s="15" t="n">
        <x:v>7</x:v>
      </x:c>
      <x:c r="AD39" s="9" t="inlineStr">
        <x:is>
          <x:t xml:space="preserve">Oficina + vivienda</x:t>
        </x:is>
      </x:c>
      <x:c r="AE39" s="9" t="inlineStr">
        <x:is>
          <x:t xml:space="preserve">Centro templado</x:t>
        </x:is>
      </x:c>
      <x:c r="AF39" s="10" t="inlineStr">
        <x:is>
          <x:t xml:space="preserve">NCh3393:2016 (referencial para paneles SIP)</x:t>
        </x:is>
      </x:c>
      <x:c r="AG3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9" s="10" t="inlineStr">
        <x:is>
          <x:t xml:space="preserve">Estructura: Panel SIP estructural OSB/EPS/OSB; muros 2 placas OSB estructural + núcleo EPS alta densidad de 90 mm con aislación EPS alta densidad 15 kg/m³ (105 mm); cubierta Panel SIP de cubierta + membrana hidrófuga + hojalatería de 114 mm; ventanas Aluminio con termopanel; revestimiento exterior Siding fibrocemento; interior MDF en zonas secas; fundación sugerida Pilotes metálicos.</x:t>
        </x:is>
      </x:c>
    </x:row>
    <x:row r="40" ht="32" customHeight="1">
      <x:c r="A40" s="9" t="inlineStr">
        <x:is>
          <x:t xml:space="preserve">MOD-0039</x:t>
        </x:is>
      </x:c>
      <x:c r="B40" s="9" t="inlineStr">
        <x:is>
          <x:t xml:space="preserve">EMP-008</x:t>
        </x:is>
      </x:c>
      <x:c r="C40" s="9" t="inlineStr">
        <x:is>
          <x:t xml:space="preserve">Puyehue 120</x:t>
        </x:is>
      </x:c>
      <x:c r="D40" s="9" t="inlineStr">
        <x:is>
          <x:t xml:space="preserve">Puyehue</x:t>
        </x:is>
      </x:c>
      <x:c r="E40" s="9" t="inlineStr">
        <x:is>
          <x:t xml:space="preserve">Ciudad</x:t>
        </x:is>
      </x:c>
      <x:c r="F40" s="9" t="inlineStr">
        <x:is>
          <x:t xml:space="preserve">Sí</x:t>
        </x:is>
      </x:c>
      <x:c r="G40" s="9" t="inlineStr">
        <x:is>
          <x:t xml:space="preserve">HYBRID_MODULAR</x:t>
        </x:is>
      </x:c>
      <x:c r="H40" s="15" t="n">
        <x:v>120</x:v>
      </x:c>
      <x:c r="I40" s="9" t="n">
        <x:v>3</x:v>
      </x:c>
      <x:c r="J40" s="9" t="n">
        <x:v>2</x:v>
      </x:c>
      <x:c r="K40" s="9" t="n">
        <x:v>1</x:v>
      </x:c>
      <x:c r="L40" s="9" t="n">
        <x:v>3</x:v>
      </x:c>
      <x:c r="M40" s="12" t="n">
        <x:v>2.35</x:v>
      </x:c>
      <x:c r="N40" s="9" t="inlineStr">
        <x:is>
          <x:t xml:space="preserve">Módulos de acero + paneles SIP</x:t>
        </x:is>
      </x:c>
      <x:c r="O40" s="10" t="inlineStr">
        <x:is>
          <x:t xml:space="preserve">Acero galvanizado o madera laminada + panel SIP MgO/OSB</x:t>
        </x:is>
      </x:c>
      <x:c r="P40" s="15" t="n">
        <x:v>110</x:v>
      </x:c>
      <x:c r="Q40" s="9" t="inlineStr">
        <x:is>
          <x:t xml:space="preserve">Lana mineral 75-100 mm o EPS integrado</x:t>
        </x:is>
      </x:c>
      <x:c r="R40" s="15" t="n">
        <x:v>75</x:v>
      </x:c>
      <x:c r="S40" s="10" t="inlineStr">
        <x:is>
          <x:t xml:space="preserve">Módulo volumétrico con cubierta panelizada</x:t>
        </x:is>
      </x:c>
      <x:c r="T40" s="15" t="n">
        <x:v>160</x:v>
      </x:c>
      <x:c r="U40" s="10" t="inlineStr">
        <x:is>
          <x:t xml:space="preserve">Lana mineral / EPS / barrera vapor</x:t>
        </x:is>
      </x:c>
      <x:c r="V40" s="9" t="inlineStr">
        <x:is>
          <x:t xml:space="preserve">Bastidor metálico o madera laminada</x:t>
        </x:is>
      </x:c>
      <x:c r="W40" s="10" t="inlineStr">
        <x:is>
          <x:t xml:space="preserve">Lana mineral 80-100 mm + fibrocemento</x:t>
        </x:is>
      </x:c>
      <x:c r="X40" s="9" t="inlineStr">
        <x:is>
          <x:t xml:space="preserve">PVC termopanel</x:t>
        </x:is>
      </x:c>
      <x:c r="Y40" s="9" t="inlineStr">
        <x:is>
          <x:t xml:space="preserve">Madera tratada</x:t>
        </x:is>
      </x:c>
      <x:c r="Z40" s="9" t="inlineStr">
        <x:is>
          <x:t xml:space="preserve">Yeso cartón RH</x:t>
        </x:is>
      </x:c>
      <x:c r="AA40" s="9" t="inlineStr">
        <x:is>
          <x:t xml:space="preserve">Dados de hormigón</x:t>
        </x:is>
      </x:c>
      <x:c r="AB40" s="15" t="n">
        <x:v>6</x:v>
      </x:c>
      <x:c r="AC40" s="15" t="n">
        <x:v>10</x:v>
      </x:c>
      <x:c r="AD40" s="9" t="inlineStr">
        <x:is>
          <x:t xml:space="preserve">Loteo habitacional</x:t>
        </x:is>
      </x:c>
      <x:c r="AE40" s="9" t="inlineStr">
        <x:is>
          <x:t xml:space="preserve">Centro templado</x:t>
        </x:is>
      </x:c>
      <x:c r="AF40" s="10" t="inlineStr">
        <x:is>
          <x:t xml:space="preserve">Criterios de prefabricación modular y coordinación BIM (referencial)</x:t>
        </x:is>
      </x:c>
      <x:c r="AG40" s="10" t="inlineStr">
        <x:is>
          <x:t xml:space="preserve">https://modul.cl/construccion-de-casas-prefabricadas-modulares/ | https://tecnofasthome.cl/casas-modulares/</x:t>
        </x:is>
      </x:c>
      <x:c r="AH40" s="10" t="inlineStr">
        <x:is>
          <x:t xml:space="preserve">Estructura: Módulos de acero + paneles SIP; muros Acero galvanizado o madera laminada + panel SIP MgO/OSB de 110 mm con aislación Lana mineral 75-100 mm o EPS integrado (75 mm); cubierta Módulo volumétrico con cubierta panelizada de 160 mm; ventanas Aluminio termopanel; revestimiento exterior Fibrocemento tipo siding; interior Melamina blanca; fundación sugerida Pilotes ajustables.</x:t>
        </x:is>
      </x:c>
    </x:row>
    <x:row r="41" ht="32" customHeight="1">
      <x:c r="A41" s="9" t="inlineStr">
        <x:is>
          <x:t xml:space="preserve">MOD-0040</x:t>
        </x:is>
      </x:c>
      <x:c r="B41" s="9" t="inlineStr">
        <x:is>
          <x:t xml:space="preserve">EMP-008</x:t>
        </x:is>
      </x:c>
      <x:c r="C41" s="9" t="inlineStr">
        <x:is>
          <x:t xml:space="preserve">Llanquihue 176</x:t>
        </x:is>
      </x:c>
      <x:c r="D41" s="9" t="inlineStr">
        <x:is>
          <x:t xml:space="preserve">Llanquihue</x:t>
        </x:is>
      </x:c>
      <x:c r="E41" s="9" t="inlineStr">
        <x:is>
          <x:t xml:space="preserve">Volcán</x:t>
        </x:is>
      </x:c>
      <x:c r="F41" s="9" t="inlineStr">
        <x:is>
          <x:t xml:space="preserve">Sí</x:t>
        </x:is>
      </x:c>
      <x:c r="G41" s="9" t="inlineStr">
        <x:is>
          <x:t xml:space="preserve">STEEL_FRAME</x:t>
        </x:is>
      </x:c>
      <x:c r="H41" s="15" t="n">
        <x:v>176</x:v>
      </x:c>
      <x:c r="I41" s="9" t="n">
        <x:v>4</x:v>
      </x:c>
      <x:c r="J41" s="9" t="n">
        <x:v>3</x:v>
      </x:c>
      <x:c r="K41" s="9" t="n">
        <x:v>1</x:v>
      </x:c>
      <x:c r="L41" s="9" t="n">
        <x:v>4</x:v>
      </x:c>
      <x:c r="M41" s="12" t="n">
        <x:v>2.45</x:v>
      </x:c>
      <x:c r="N41" s="9" t="inlineStr">
        <x:is>
          <x:t xml:space="preserve">Perfilería de acero galvanizado liviano</x:t>
        </x:is>
      </x:c>
      <x:c r="O41" s="10" t="inlineStr">
        <x:is>
          <x:t xml:space="preserve">Acero galvanizado + placa OSB/fibrocemento + cámara técnica</x:t>
        </x:is>
      </x:c>
      <x:c r="P41" s="15" t="n">
        <x:v>160</x:v>
      </x:c>
      <x:c r="Q41" s="9" t="inlineStr">
        <x:is>
          <x:t xml:space="preserve">Lana mineral o lana de roca / PET / EPS según zona térmica</x:t>
        </x:is>
      </x:c>
      <x:c r="R41" s="15" t="n">
        <x:v>60</x:v>
      </x:c>
      <x:c r="S41" s="10" t="inlineStr">
        <x:is>
          <x:t xml:space="preserve">Cerchas o paneles steel frame + cubierta metálica</x:t>
        </x:is>
      </x:c>
      <x:c r="T41" s="15" t="n">
        <x:v>180</x:v>
      </x:c>
      <x:c r="U41" s="10" t="inlineStr">
        <x:is>
          <x:t xml:space="preserve">Lana mineral / lana de roca + barrera de vapor</x:t>
        </x:is>
      </x:c>
      <x:c r="V41" s="9" t="inlineStr">
        <x:is>
          <x:t xml:space="preserve">Envigado metálico o plataforma estructural</x:t>
        </x:is>
      </x:c>
      <x:c r="W41" s="10" t="inlineStr">
        <x:is>
          <x:t xml:space="preserve">Lana mineral 50-100 mm + placas estructurales</x:t>
        </x:is>
      </x:c>
      <x:c r="X41" s="9" t="inlineStr">
        <x:is>
          <x:t xml:space="preserve">Aluminio RPT termopanel</x:t>
        </x:is>
      </x:c>
      <x:c r="Y41" s="9" t="inlineStr">
        <x:is>
          <x:t xml:space="preserve">Siding fibrocemento</x:t>
        </x:is>
      </x:c>
      <x:c r="Z41" s="9" t="inlineStr">
        <x:is>
          <x:t xml:space="preserve">MDF pintado</x:t>
        </x:is>
      </x:c>
      <x:c r="AA41" s="9" t="inlineStr">
        <x:is>
          <x:t xml:space="preserve">Vigas de fundación y radier</x:t>
        </x:is>
      </x:c>
      <x:c r="AB41" s="15" t="n">
        <x:v>8</x:v>
      </x:c>
      <x:c r="AC41" s="15" t="n">
        <x:v>15</x:v>
      </x:c>
      <x:c r="AD41" s="9" t="inlineStr">
        <x:is>
          <x:t xml:space="preserve">Primera vivienda</x:t>
        </x:is>
      </x:c>
      <x:c r="AE41" s="9" t="inlineStr">
        <x:is>
          <x:t xml:space="preserve">Centro templado</x:t>
        </x:is>
      </x:c>
      <x:c r="AF41" s="10" t="inlineStr">
        <x:is>
          <x:t xml:space="preserve">Criterio térmico referencial OGUC / reglamentación térmica vigente</x:t>
        </x:is>
      </x:c>
      <x:c r="AG41" s="10" t="inlineStr">
        <x:is>
          <x:t xml:space="preserve">https://www.steelframe.cl/ | https://vhaceros.cl/blog/steel-framing-principios-estructurales-y-ventajas-en-la-construccion-chilena/</x:t>
        </x:is>
      </x:c>
      <x:c r="AH41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(60 mm); cubierta Cerchas o paneles steel frame + cubierta metálica de 180 mm; ventanas PVC termopanel; revestimiento exterior Plancha metálica; interior Yeso cartón RF; fundación sugerida Radier reforzado.</x:t>
        </x:is>
      </x:c>
    </x:row>
    <x:row r="42" ht="32" customHeight="1">
      <x:c r="A42" s="9" t="inlineStr">
        <x:is>
          <x:t xml:space="preserve">MOD-0041</x:t>
        </x:is>
      </x:c>
      <x:c r="B42" s="9" t="inlineStr">
        <x:is>
          <x:t xml:space="preserve">EMP-009</x:t>
        </x:is>
      </x:c>
      <x:c r="C42" s="9" t="inlineStr">
        <x:is>
          <x:t xml:space="preserve">Ranco 60</x:t>
        </x:is>
      </x:c>
      <x:c r="D42" s="9" t="inlineStr">
        <x:is>
          <x:t xml:space="preserve">Ranco</x:t>
        </x:is>
      </x:c>
      <x:c r="E42" s="9" t="inlineStr">
        <x:is>
          <x:t xml:space="preserve">Ciudad</x:t>
        </x:is>
      </x:c>
      <x:c r="F42" s="9" t="inlineStr">
        <x:is>
          <x:t xml:space="preserve">Sí</x:t>
        </x:is>
      </x:c>
      <x:c r="G42" s="9" t="inlineStr">
        <x:is>
          <x:t xml:space="preserve">CONTAINER</x:t>
        </x:is>
      </x:c>
      <x:c r="H42" s="15" t="n">
        <x:v>60</x:v>
      </x:c>
      <x:c r="I42" s="9" t="n">
        <x:v>2</x:v>
      </x:c>
      <x:c r="J42" s="9" t="n">
        <x:v>1</x:v>
      </x:c>
      <x:c r="K42" s="9" t="n">
        <x:v>1</x:v>
      </x:c>
      <x:c r="L42" s="9" t="n">
        <x:v>2</x:v>
      </x:c>
      <x:c r="M42" s="12" t="n">
        <x:v>2.35</x:v>
      </x:c>
      <x:c r="N42" s="9" t="inlineStr">
        <x:is>
          <x:t xml:space="preserve">Módulo habitacional de acero galvanizado / corten</x:t>
        </x:is>
      </x:c>
      <x:c r="O42" s="10" t="inlineStr">
        <x:is>
          <x:t xml:space="preserve">Estructura container + subestructura interior + revestimiento</x:t>
        </x:is>
      </x:c>
      <x:c r="P42" s="15" t="n">
        <x:v>110</x:v>
      </x:c>
      <x:c r="Q42" s="9" t="inlineStr">
        <x:is>
          <x:t xml:space="preserve">Poliuretano proyectado o EPS/Aislapol 40-60 mm</x:t>
        </x:is>
      </x:c>
      <x:c r="R42" s="15" t="n">
        <x:v>40</x:v>
      </x:c>
      <x:c r="S42" s="10" t="inlineStr">
        <x:is>
          <x:t xml:space="preserve">Cubierta metálica container + sobretecho ventilado opcional</x:t>
        </x:is>
      </x:c>
      <x:c r="T42" s="15" t="n">
        <x:v>120</x:v>
      </x:c>
      <x:c r="U42" s="10" t="inlineStr">
        <x:is>
          <x:t xml:space="preserve">Poliuretano / EPS + barrera anticondensación</x:t>
        </x:is>
      </x:c>
      <x:c r="V42" s="9" t="inlineStr">
        <x:is>
          <x:t xml:space="preserve">Piso terciado 18 mm o base original acondicionada + vinílico</x:t>
        </x:is>
      </x:c>
      <x:c r="W42" s="10" t="inlineStr">
        <x:is>
          <x:t xml:space="preserve">Aislación bajo piso 40-80 mm</x:t>
        </x:is>
      </x:c>
      <x:c r="X42" s="9" t="inlineStr">
        <x:is>
          <x:t xml:space="preserve">Aluminio termopanel</x:t>
        </x:is>
      </x:c>
      <x:c r="Y42" s="9" t="inlineStr">
        <x:is>
          <x:t xml:space="preserve">Madera tratada ventilada</x:t>
        </x:is>
      </x:c>
      <x:c r="Z42" s="9" t="inlineStr">
        <x:is>
          <x:t xml:space="preserve">Melamina</x:t>
        </x:is>
      </x:c>
      <x:c r="AA42" s="9" t="inlineStr">
        <x:is>
          <x:t xml:space="preserve">Radier</x:t>
        </x:is>
      </x:c>
      <x:c r="AB42" s="15" t="n">
        <x:v>3</x:v>
      </x:c>
      <x:c r="AC42" s="15" t="n">
        <x:v>5</x:v>
      </x:c>
      <x:c r="AD42" s="9" t="inlineStr">
        <x:is>
          <x:t xml:space="preserve">Turismo / arriendo</x:t>
        </x:is>
      </x:c>
      <x:c r="AE42" s="9" t="inlineStr">
        <x:is>
          <x:t xml:space="preserve">Centro templado</x:t>
        </x:is>
      </x:c>
      <x:c r="AF42" s="10" t="inlineStr">
        <x:is>
          <x:t xml:space="preserve">Criterios de aislación, ventilación y tratamiento anticorrosivo (referencial)</x:t>
        </x:is>
      </x:c>
      <x:c r="AG42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42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120 mm; ventanas Aluminio termopanel; revestimiento exterior Plancha metálica prepintada; interior Yeso cartón; fundación sugerida Pilotes metálicos.</x:t>
        </x:is>
      </x:c>
    </x:row>
    <x:row r="43" ht="32" customHeight="1">
      <x:c r="A43" s="9" t="inlineStr">
        <x:is>
          <x:t xml:space="preserve">MOD-0042</x:t>
        </x:is>
      </x:c>
      <x:c r="B43" s="9" t="inlineStr">
        <x:is>
          <x:t xml:space="preserve">EMP-009</x:t>
        </x:is>
      </x:c>
      <x:c r="C43" s="9" t="inlineStr">
        <x:is>
          <x:t xml:space="preserve">Calafquén 112</x:t>
        </x:is>
      </x:c>
      <x:c r="D43" s="9" t="inlineStr">
        <x:is>
          <x:t xml:space="preserve">Calafquén</x:t>
        </x:is>
      </x:c>
      <x:c r="E43" s="9" t="inlineStr">
        <x:is>
          <x:t xml:space="preserve">Lago</x:t>
        </x:is>
      </x:c>
      <x:c r="F43" s="9" t="inlineStr">
        <x:is>
          <x:t xml:space="preserve">Sí</x:t>
        </x:is>
      </x:c>
      <x:c r="G43" s="9" t="inlineStr">
        <x:is>
          <x:t xml:space="preserve">CONTAINER</x:t>
        </x:is>
      </x:c>
      <x:c r="H43" s="15" t="n">
        <x:v>112</x:v>
      </x:c>
      <x:c r="I43" s="9" t="n">
        <x:v>3</x:v>
      </x:c>
      <x:c r="J43" s="9" t="n">
        <x:v>2</x:v>
      </x:c>
      <x:c r="K43" s="9" t="n">
        <x:v>1</x:v>
      </x:c>
      <x:c r="L43" s="9" t="n">
        <x:v>3</x:v>
      </x:c>
      <x:c r="M43" s="12" t="n">
        <x:v>2.5</x:v>
      </x:c>
      <x:c r="N43" s="9" t="inlineStr">
        <x:is>
          <x:t xml:space="preserve">Módulo habitacional de acero galvanizado / corten</x:t>
        </x:is>
      </x:c>
      <x:c r="O43" s="10" t="inlineStr">
        <x:is>
          <x:t xml:space="preserve">Estructura container + subestructura interior + revestimiento</x:t>
        </x:is>
      </x:c>
      <x:c r="P43" s="15" t="n">
        <x:v>90</x:v>
      </x:c>
      <x:c r="Q43" s="9" t="inlineStr">
        <x:is>
          <x:t xml:space="preserve">Poliuretano proyectado o EPS/Aislapol 40-60 mm</x:t>
        </x:is>
      </x:c>
      <x:c r="R43" s="15" t="n">
        <x:v>60</x:v>
      </x:c>
      <x:c r="S43" s="10" t="inlineStr">
        <x:is>
          <x:t xml:space="preserve">Cubierta metálica container + sobretecho ventilado opcional</x:t>
        </x:is>
      </x:c>
      <x:c r="T43" s="15" t="n">
        <x:v>120</x:v>
      </x:c>
      <x:c r="U43" s="10" t="inlineStr">
        <x:is>
          <x:t xml:space="preserve">Poliuretano / EPS + barrera anticondensación</x:t>
        </x:is>
      </x:c>
      <x:c r="V43" s="9" t="inlineStr">
        <x:is>
          <x:t xml:space="preserve">Piso terciado 18 mm o base original acondicionada + vinílico</x:t>
        </x:is>
      </x:c>
      <x:c r="W43" s="10" t="inlineStr">
        <x:is>
          <x:t xml:space="preserve">Aislación bajo piso 40-80 mm</x:t>
        </x:is>
      </x:c>
      <x:c r="X43" s="9" t="inlineStr">
        <x:is>
          <x:t xml:space="preserve">Aluminio termopanel</x:t>
        </x:is>
      </x:c>
      <x:c r="Y43" s="9" t="inlineStr">
        <x:is>
          <x:t xml:space="preserve">Acero galvanizado pintado</x:t>
        </x:is>
      </x:c>
      <x:c r="Z43" s="9" t="inlineStr">
        <x:is>
          <x:t xml:space="preserve">Melamina</x:t>
        </x:is>
      </x:c>
      <x:c r="AA43" s="9" t="inlineStr">
        <x:is>
          <x:t xml:space="preserve">Radier</x:t>
        </x:is>
      </x:c>
      <x:c r="AB43" s="15" t="n">
        <x:v>5</x:v>
      </x:c>
      <x:c r="AC43" s="15" t="n">
        <x:v>3</x:v>
      </x:c>
      <x:c r="AD43" s="9" t="inlineStr">
        <x:is>
          <x:t xml:space="preserve">Cabaña permanente</x:t>
        </x:is>
      </x:c>
      <x:c r="AE43" s="9" t="inlineStr">
        <x:is>
          <x:t xml:space="preserve">Centro templado</x:t>
        </x:is>
      </x:c>
      <x:c r="AF43" s="10" t="inlineStr">
        <x:is>
          <x:t xml:space="preserve">Criterios de aislación, ventilación y tratamiento anticorrosivo (referencial)</x:t>
        </x:is>
      </x:c>
      <x:c r="AG43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43" s="10" t="inlineStr">
        <x:is>
          <x:t xml:space="preserve">Estructura: Contenedor marítimo acondicionado; muros Estructura container + subestructura interior + revestimiento de 90 mm con aislación Poliuretano proyectado o EPS/Aislapol 40-60 mm (60 mm); cubierta Cubierta metálica container + sobretecho ventilado opcional de 120 mm; ventanas PVC termopanel; revestimiento exterior Plancha metálica prepintada; interior Yeso cartón; fundación sugerida Radier.</x:t>
        </x:is>
      </x:c>
    </x:row>
    <x:row r="44" ht="32" customHeight="1">
      <x:c r="A44" s="9" t="inlineStr">
        <x:is>
          <x:t xml:space="preserve">MOD-0043</x:t>
        </x:is>
      </x:c>
      <x:c r="B44" s="9" t="inlineStr">
        <x:is>
          <x:t xml:space="preserve">EMP-009</x:t>
        </x:is>
      </x:c>
      <x:c r="C44" s="9" t="inlineStr">
        <x:is>
          <x:t xml:space="preserve">Villarrica 96</x:t>
        </x:is>
      </x:c>
      <x:c r="D44" s="9" t="inlineStr">
        <x:is>
          <x:t xml:space="preserve">Villarrica</x:t>
        </x:is>
      </x:c>
      <x:c r="E44" s="9" t="inlineStr">
        <x:is>
          <x:t xml:space="preserve">Comuna</x:t>
        </x:is>
      </x:c>
      <x:c r="F44" s="9" t="inlineStr">
        <x:is>
          <x:t xml:space="preserve">Sí</x:t>
        </x:is>
      </x:c>
      <x:c r="G44" s="9" t="inlineStr">
        <x:is>
          <x:t xml:space="preserve">HYBRID_MODULAR</x:t>
        </x:is>
      </x:c>
      <x:c r="H44" s="15" t="n">
        <x:v>96</x:v>
      </x:c>
      <x:c r="I44" s="9" t="n">
        <x:v>3</x:v>
      </x:c>
      <x:c r="J44" s="9" t="n">
        <x:v>2</x:v>
      </x:c>
      <x:c r="K44" s="9" t="n">
        <x:v>1</x:v>
      </x:c>
      <x:c r="L44" s="9" t="n">
        <x:v>3</x:v>
      </x:c>
      <x:c r="M44" s="12" t="n">
        <x:v>2.5</x:v>
      </x:c>
      <x:c r="N44" s="9" t="inlineStr">
        <x:is>
          <x:t xml:space="preserve">Estructura híbrida acero-madera panelizada</x:t>
        </x:is>
      </x:c>
      <x:c r="O44" s="10" t="inlineStr">
        <x:is>
          <x:t xml:space="preserve">Acero galvanizado o madera laminada + panel SIP MgO/OSB</x:t>
        </x:is>
      </x:c>
      <x:c r="P44" s="15" t="n">
        <x:v>110</x:v>
      </x:c>
      <x:c r="Q44" s="9" t="inlineStr">
        <x:is>
          <x:t xml:space="preserve">Lana mineral 75-100 mm o EPS integrado</x:t>
        </x:is>
      </x:c>
      <x:c r="R44" s="15" t="n">
        <x:v>90</x:v>
      </x:c>
      <x:c r="S44" s="10" t="inlineStr">
        <x:is>
          <x:t xml:space="preserve">Módulo volumétrico con cubierta panelizada</x:t>
        </x:is>
      </x:c>
      <x:c r="T44" s="15" t="n">
        <x:v>140</x:v>
      </x:c>
      <x:c r="U44" s="10" t="inlineStr">
        <x:is>
          <x:t xml:space="preserve">Lana mineral / EPS / barrera vapor</x:t>
        </x:is>
      </x:c>
      <x:c r="V44" s="9" t="inlineStr">
        <x:is>
          <x:t xml:space="preserve">Bastidor metálico o madera laminada</x:t>
        </x:is>
      </x:c>
      <x:c r="W44" s="10" t="inlineStr">
        <x:is>
          <x:t xml:space="preserve">Lana mineral 80-100 mm + fibrocemento</x:t>
        </x:is>
      </x:c>
      <x:c r="X44" s="9" t="inlineStr">
        <x:is>
          <x:t xml:space="preserve">PVC termopanel</x:t>
        </x:is>
      </x:c>
      <x:c r="Y44" s="9" t="inlineStr">
        <x:is>
          <x:t xml:space="preserve">Plancha metálica</x:t>
        </x:is>
      </x:c>
      <x:c r="Z44" s="9" t="inlineStr">
        <x:is>
          <x:t xml:space="preserve">Yeso cartón pintado</x:t>
        </x:is>
      </x:c>
      <x:c r="AA44" s="9" t="inlineStr">
        <x:is>
          <x:t xml:space="preserve">Radier</x:t>
        </x:is>
      </x:c>
      <x:c r="AB44" s="15" t="n">
        <x:v>5</x:v>
      </x:c>
      <x:c r="AC44" s="15" t="n">
        <x:v>10</x:v>
      </x:c>
      <x:c r="AD44" s="9" t="inlineStr">
        <x:is>
          <x:t xml:space="preserve">Parcela</x:t>
        </x:is>
      </x:c>
      <x:c r="AE44" s="9" t="inlineStr">
        <x:is>
          <x:t xml:space="preserve">Centro templado</x:t>
        </x:is>
      </x:c>
      <x:c r="AF44" s="10" t="inlineStr">
        <x:is>
          <x:t xml:space="preserve">Criterios de prefabricación modular y coordinación BIM (referencial)</x:t>
        </x:is>
      </x:c>
      <x:c r="AG44" s="10" t="inlineStr">
        <x:is>
          <x:t xml:space="preserve">https://modul.cl/construccion-de-casas-prefabricadas-modulares/ | https://tecnofasthome.cl/casas-modulares/</x:t>
        </x:is>
      </x:c>
      <x:c r="AH44" s="10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140 mm; ventanas PVC termopanel; revestimiento exterior Madera tratada; interior Melamina blanca; fundación sugerida Dados de hormigón.</x:t>
        </x:is>
      </x:c>
    </x:row>
    <x:row r="45" ht="32" customHeight="1">
      <x:c r="A45" s="9" t="inlineStr">
        <x:is>
          <x:t xml:space="preserve">MOD-0044</x:t>
        </x:is>
      </x:c>
      <x:c r="B45" s="9" t="inlineStr">
        <x:is>
          <x:t xml:space="preserve">EMP-009</x:t>
        </x:is>
      </x:c>
      <x:c r="C45" s="9" t="inlineStr">
        <x:is>
          <x:t xml:space="preserve">Caburgua 120</x:t>
        </x:is>
      </x:c>
      <x:c r="D45" s="9" t="inlineStr">
        <x:is>
          <x:t xml:space="preserve">Caburgua</x:t>
        </x:is>
      </x:c>
      <x:c r="E45" s="9" t="inlineStr">
        <x:is>
          <x:t xml:space="preserve">Lago</x:t>
        </x:is>
      </x:c>
      <x:c r="F45" s="9" t="inlineStr">
        <x:is>
          <x:t xml:space="preserve">Sí</x:t>
        </x:is>
      </x:c>
      <x:c r="G45" s="9" t="inlineStr">
        <x:is>
          <x:t xml:space="preserve">SIP</x:t>
        </x:is>
      </x:c>
      <x:c r="H45" s="15" t="n">
        <x:v>120</x:v>
      </x:c>
      <x:c r="I45" s="9" t="n">
        <x:v>3</x:v>
      </x:c>
      <x:c r="J45" s="9" t="n">
        <x:v>2</x:v>
      </x:c>
      <x:c r="K45" s="9" t="n">
        <x:v>1</x:v>
      </x:c>
      <x:c r="L45" s="9" t="n">
        <x:v>3</x:v>
      </x:c>
      <x:c r="M45" s="12" t="n">
        <x:v>2.5</x:v>
      </x:c>
      <x:c r="N45" s="9" t="inlineStr">
        <x:is>
          <x:t xml:space="preserve">Panel SIP estructural con uniones en pino seco</x:t>
        </x:is>
      </x:c>
      <x:c r="O45" s="10" t="inlineStr">
        <x:is>
          <x:t xml:space="preserve">2 placas OSB estructural + núcleo EPS alta densidad</x:t>
        </x:is>
      </x:c>
      <x:c r="P45" s="15" t="n">
        <x:v>114</x:v>
      </x:c>
      <x:c r="Q45" s="9" t="inlineStr">
        <x:is>
          <x:t xml:space="preserve">EPS alta densidad 15 kg/m³</x:t>
        </x:is>
      </x:c>
      <x:c r="R45" s="15" t="n">
        <x:v>92</x:v>
      </x:c>
      <x:c r="S45" s="10" t="inlineStr">
        <x:is>
          <x:t xml:space="preserve">Panel SIP de cubierta + membrana hidrófuga + hojalatería</x:t>
        </x:is>
      </x:c>
      <x:c r="T45" s="15" t="n">
        <x:v>114</x:v>
      </x:c>
      <x:c r="U45" s="10" t="inlineStr">
        <x:is>
          <x:t xml:space="preserve">EPS integrado + sellos PU</x:t>
        </x:is>
      </x:c>
      <x:c r="V45" s="9" t="inlineStr">
        <x:is>
          <x:t xml:space="preserve">Base entramado madera o radier con barrera de humedad</x:t>
        </x:is>
      </x:c>
      <x:c r="W45" s="10" t="inlineStr">
        <x:is>
          <x:t xml:space="preserve">Aislación bajo piso PET o lana mineral 50-100 mm</x:t>
        </x:is>
      </x:c>
      <x:c r="X45" s="9" t="inlineStr">
        <x:is>
          <x:t xml:space="preserve">Aluminio con termopanel</x:t>
        </x:is>
      </x:c>
      <x:c r="Y45" s="9" t="inlineStr">
        <x:is>
          <x:t xml:space="preserve">Madera tratada</x:t>
        </x:is>
      </x:c>
      <x:c r="Z45" s="9" t="inlineStr">
        <x:is>
          <x:t xml:space="preserve">Yeso cartón pintado</x:t>
        </x:is>
      </x:c>
      <x:c r="AA45" s="9" t="inlineStr">
        <x:is>
          <x:t xml:space="preserve">Sobrecimientos y radier</x:t>
        </x:is>
      </x:c>
      <x:c r="AB45" s="15" t="n">
        <x:v>5</x:v>
      </x:c>
      <x:c r="AC45" s="15" t="n">
        <x:v>10</x:v>
      </x:c>
      <x:c r="AD45" s="9" t="inlineStr">
        <x:is>
          <x:t xml:space="preserve">Primera vivienda</x:t>
        </x:is>
      </x:c>
      <x:c r="AE45" s="9" t="inlineStr">
        <x:is>
          <x:t xml:space="preserve">Centro templado</x:t>
        </x:is>
      </x:c>
      <x:c r="AF45" s="10" t="inlineStr">
        <x:is>
          <x:t xml:space="preserve">NCh3393:2016 (referencial para paneles SIP)</x:t>
        </x:is>
      </x:c>
      <x:c r="AG45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45" s="10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114 mm; ventanas PVC DVH; revestimiento exterior Plancha metálica prepintada; interior Yeso cartón RH en zonas húmedas; fundación sugerida Fundación corrida.</x:t>
        </x:is>
      </x:c>
    </x:row>
    <x:row r="46" ht="32" customHeight="1">
      <x:c r="A46" s="9" t="inlineStr">
        <x:is>
          <x:t xml:space="preserve">MOD-0045</x:t>
        </x:is>
      </x:c>
      <x:c r="B46" s="9" t="inlineStr">
        <x:is>
          <x:t xml:space="preserve">EMP-009</x:t>
        </x:is>
      </x:c>
      <x:c r="C46" s="9" t="inlineStr">
        <x:is>
          <x:t xml:space="preserve">Todos los Santos 192</x:t>
        </x:is>
      </x:c>
      <x:c r="D46" s="9" t="inlineStr">
        <x:is>
          <x:t xml:space="preserve">Todos los Santos</x:t>
        </x:is>
      </x:c>
      <x:c r="E46" s="9" t="inlineStr">
        <x:is>
          <x:t xml:space="preserve">Comuna</x:t>
        </x:is>
      </x:c>
      <x:c r="F46" s="9" t="inlineStr">
        <x:is>
          <x:t xml:space="preserve">Sí</x:t>
        </x:is>
      </x:c>
      <x:c r="G46" s="9" t="inlineStr">
        <x:is>
          <x:t xml:space="preserve">STEEL_FRAME</x:t>
        </x:is>
      </x:c>
      <x:c r="H46" s="15" t="n">
        <x:v>192</x:v>
      </x:c>
      <x:c r="I46" s="9" t="n">
        <x:v>4</x:v>
      </x:c>
      <x:c r="J46" s="9" t="n">
        <x:v>3</x:v>
      </x:c>
      <x:c r="K46" s="9" t="n">
        <x:v>1</x:v>
      </x:c>
      <x:c r="L46" s="9" t="n">
        <x:v>4</x:v>
      </x:c>
      <x:c r="M46" s="12" t="n">
        <x:v>2.4</x:v>
      </x:c>
      <x:c r="N46" s="9" t="inlineStr">
        <x:is>
          <x:t xml:space="preserve">Panelizado steel frame industrializado</x:t>
        </x:is>
      </x:c>
      <x:c r="O46" s="10" t="inlineStr">
        <x:is>
          <x:t xml:space="preserve">Acero galvanizado + placa OSB/fibrocemento + cámara técnica</x:t>
        </x:is>
      </x:c>
      <x:c r="P46" s="15" t="n">
        <x:v>140</x:v>
      </x:c>
      <x:c r="Q46" s="9" t="inlineStr">
        <x:is>
          <x:t xml:space="preserve">Lana mineral o lana de roca / PET / EPS según zona térmica</x:t>
        </x:is>
      </x:c>
      <x:c r="R46" s="15" t="n">
        <x:v>90</x:v>
      </x:c>
      <x:c r="S46" s="10" t="inlineStr">
        <x:is>
          <x:t xml:space="preserve">Cerchas o paneles steel frame + cubierta metálica</x:t>
        </x:is>
      </x:c>
      <x:c r="T46" s="15" t="n">
        <x:v>120</x:v>
      </x:c>
      <x:c r="U46" s="10" t="inlineStr">
        <x:is>
          <x:t xml:space="preserve">Lana mineral / lana de roca + barrera de vapor</x:t>
        </x:is>
      </x:c>
      <x:c r="V46" s="9" t="inlineStr">
        <x:is>
          <x:t xml:space="preserve">Envigado metálico o plataforma estructural</x:t>
        </x:is>
      </x:c>
      <x:c r="W46" s="10" t="inlineStr">
        <x:is>
          <x:t xml:space="preserve">Lana mineral 50-100 mm + placas estructurales</x:t>
        </x:is>
      </x:c>
      <x:c r="X46" s="9" t="inlineStr">
        <x:is>
          <x:t xml:space="preserve">Aluminio RPT termopanel</x:t>
        </x:is>
      </x:c>
      <x:c r="Y46" s="9" t="inlineStr">
        <x:is>
          <x:t xml:space="preserve">Plancha metálica</x:t>
        </x:is>
      </x:c>
      <x:c r="Z46" s="9" t="inlineStr">
        <x:is>
          <x:t xml:space="preserve">Yeso cartón</x:t>
        </x:is>
      </x:c>
      <x:c r="AA46" s="9" t="inlineStr">
        <x:is>
          <x:t xml:space="preserve">Vigas de fundación y radier</x:t>
        </x:is>
      </x:c>
      <x:c r="AB46" s="15" t="n">
        <x:v>4</x:v>
      </x:c>
      <x:c r="AC46" s="15" t="n">
        <x:v>11</x:v>
      </x:c>
      <x:c r="AD46" s="9" t="inlineStr">
        <x:is>
          <x:t xml:space="preserve">Cabaña permanente</x:t>
        </x:is>
      </x:c>
      <x:c r="AE46" s="9" t="inlineStr">
        <x:is>
          <x:t xml:space="preserve">Centro templado</x:t>
        </x:is>
      </x:c>
      <x:c r="AF46" s="10" t="inlineStr">
        <x:is>
          <x:t xml:space="preserve">Criterio térmico referencial OGUC / reglamentación térmica vigente</x:t>
        </x:is>
      </x:c>
      <x:c r="AG46" s="10" t="inlineStr">
        <x:is>
          <x:t xml:space="preserve">https://www.steelframe.cl/ | https://vhaceros.cl/blog/steel-framing-principios-estructurales-y-ventajas-en-la-construccion-chilena/</x:t>
        </x:is>
      </x:c>
      <x:c r="AH46" s="10" t="inlineStr">
        <x:is>
          <x:t xml:space="preserve">Estructura: Panelizado steel frame industrializado; muros Acero galvanizado + placa OSB/fibrocemento + cámara técnica de 140 mm con aislación Lana mineral o lana de roca / PET / EPS según zona térmica (90 mm); cubierta Cerchas o paneles steel frame + cubierta metálica de 120 mm; ventanas Aluminio RPT termopanel; revestimiento exterior Plancha metálica; interior MDF pintado; fundación sugerida Vigas de fundación y radier.</x:t>
        </x:is>
      </x:c>
    </x:row>
    <x:row r="47" ht="32" customHeight="1">
      <x:c r="A47" s="9" t="inlineStr">
        <x:is>
          <x:t xml:space="preserve">MOD-0046</x:t>
        </x:is>
      </x:c>
      <x:c r="B47" s="9" t="inlineStr">
        <x:is>
          <x:t xml:space="preserve">EMP-010</x:t>
        </x:is>
      </x:c>
      <x:c r="C47" s="9" t="inlineStr">
        <x:is>
          <x:t xml:space="preserve">General Carrera 48</x:t>
        </x:is>
      </x:c>
      <x:c r="D47" s="9" t="inlineStr">
        <x:is>
          <x:t xml:space="preserve">General Carrera</x:t>
        </x:is>
      </x:c>
      <x:c r="E47" s="9" t="inlineStr">
        <x:is>
          <x:t xml:space="preserve">Lago</x:t>
        </x:is>
      </x:c>
      <x:c r="F47" s="9" t="inlineStr">
        <x:is>
          <x:t xml:space="preserve">Sí</x:t>
        </x:is>
      </x:c>
      <x:c r="G47" s="9" t="inlineStr">
        <x:is>
          <x:t xml:space="preserve">STEEL_FRAME</x:t>
        </x:is>
      </x:c>
      <x:c r="H47" s="15" t="n">
        <x:v>48</x:v>
      </x:c>
      <x:c r="I47" s="9" t="n">
        <x:v>2</x:v>
      </x:c>
      <x:c r="J47" s="9" t="n">
        <x:v>1</x:v>
      </x:c>
      <x:c r="K47" s="9" t="n">
        <x:v>1</x:v>
      </x:c>
      <x:c r="L47" s="9" t="n">
        <x:v>2</x:v>
      </x:c>
      <x:c r="M47" s="12" t="n">
        <x:v>2.35</x:v>
      </x:c>
      <x:c r="N47" s="9" t="inlineStr">
        <x:is>
          <x:t xml:space="preserve">Perfilería de acero galvanizado liviano</x:t>
        </x:is>
      </x:c>
      <x:c r="O47" s="10" t="inlineStr">
        <x:is>
          <x:t xml:space="preserve">Acero galvanizado + placa OSB/fibrocemento + cámara técnica</x:t>
        </x:is>
      </x:c>
      <x:c r="P47" s="15" t="n">
        <x:v>160</x:v>
      </x:c>
      <x:c r="Q47" s="9" t="inlineStr">
        <x:is>
          <x:t xml:space="preserve">Lana mineral o lana de roca / PET / EPS según zona térmica</x:t>
        </x:is>
      </x:c>
      <x:c r="R47" s="15" t="n">
        <x:v>90</x:v>
      </x:c>
      <x:c r="S47" s="10" t="inlineStr">
        <x:is>
          <x:t xml:space="preserve">Cerchas o paneles steel frame + cubierta metálica</x:t>
        </x:is>
      </x:c>
      <x:c r="T47" s="15" t="n">
        <x:v>180</x:v>
      </x:c>
      <x:c r="U47" s="10" t="inlineStr">
        <x:is>
          <x:t xml:space="preserve">Lana mineral / lana de roca + barrera de vapor</x:t>
        </x:is>
      </x:c>
      <x:c r="V47" s="9" t="inlineStr">
        <x:is>
          <x:t xml:space="preserve">Envigado metálico o plataforma estructural</x:t>
        </x:is>
      </x:c>
      <x:c r="W47" s="10" t="inlineStr">
        <x:is>
          <x:t xml:space="preserve">Lana mineral 50-100 mm + placas estructurales</x:t>
        </x:is>
      </x:c>
      <x:c r="X47" s="9" t="inlineStr">
        <x:is>
          <x:t xml:space="preserve">Aluminio RPT termopanel</x:t>
        </x:is>
      </x:c>
      <x:c r="Y47" s="9" t="inlineStr">
        <x:is>
          <x:t xml:space="preserve">Siding fibrocemento</x:t>
        </x:is>
      </x:c>
      <x:c r="Z47" s="9" t="inlineStr">
        <x:is>
          <x:t xml:space="preserve">Yeso cartón</x:t>
        </x:is>
      </x:c>
      <x:c r="AA47" s="9" t="inlineStr">
        <x:is>
          <x:t xml:space="preserve">Radier reforzado</x:t>
        </x:is>
      </x:c>
      <x:c r="AB47" s="15" t="n">
        <x:v>4</x:v>
      </x:c>
      <x:c r="AC47" s="15" t="n">
        <x:v>7</x:v>
      </x:c>
      <x:c r="AD47" s="9" t="inlineStr">
        <x:is>
          <x:t xml:space="preserve">Segunda vivienda</x:t>
        </x:is>
      </x:c>
      <x:c r="AE47" s="9" t="inlineStr">
        <x:is>
          <x:t xml:space="preserve">Centro templado</x:t>
        </x:is>
      </x:c>
      <x:c r="AF47" s="10" t="inlineStr">
        <x:is>
          <x:t xml:space="preserve">Criterio térmico referencial OGUC / reglamentación térmica vigente</x:t>
        </x:is>
      </x:c>
      <x:c r="AG47" s="10" t="inlineStr">
        <x:is>
          <x:t xml:space="preserve">https://www.steelframe.cl/ | https://vhaceros.cl/blog/steel-framing-principios-estructurales-y-ventajas-en-la-construccion-chilena/</x:t>
        </x:is>
      </x:c>
      <x:c r="AH47" s="10" t="inlineStr">
        <x:is>
          <x:t xml:space="preserve">Estructura: Panelizado steel frame industrializado; muros Acero galvanizado + placa OSB/fibrocemento + cámara técnica de 160 mm con aislación Lana mineral o lana de roca / PET / EPS según zona térmica (90 mm); cubierta Cerchas o paneles steel frame + cubierta metálica de 180 mm; ventanas Aluminio RPT termopanel; revestimiento exterior Estuco sobre placa cementicia; interior MDF pintado; fundación sugerida Vigas de fundación y radier.</x:t>
        </x:is>
      </x:c>
    </x:row>
    <x:row r="48" ht="32" customHeight="1">
      <x:c r="A48" s="9" t="inlineStr">
        <x:is>
          <x:t xml:space="preserve">MOD-0047</x:t>
        </x:is>
      </x:c>
      <x:c r="B48" s="9" t="inlineStr">
        <x:is>
          <x:t xml:space="preserve">EMP-010</x:t>
        </x:is>
      </x:c>
      <x:c r="C48" s="9" t="inlineStr">
        <x:is>
          <x:t xml:space="preserve">Rupanco 112</x:t>
        </x:is>
      </x:c>
      <x:c r="D48" s="9" t="inlineStr">
        <x:is>
          <x:t xml:space="preserve">Rupanco</x:t>
        </x:is>
      </x:c>
      <x:c r="E48" s="9" t="inlineStr">
        <x:is>
          <x:t xml:space="preserve">Valle</x:t>
        </x:is>
      </x:c>
      <x:c r="F48" s="9" t="inlineStr">
        <x:is>
          <x:t xml:space="preserve">Sí</x:t>
        </x:is>
      </x:c>
      <x:c r="G48" s="9" t="inlineStr">
        <x:is>
          <x:t xml:space="preserve">STEEL_FRAME</x:t>
        </x:is>
      </x:c>
      <x:c r="H48" s="15" t="n">
        <x:v>112</x:v>
      </x:c>
      <x:c r="I48" s="9" t="n">
        <x:v>3</x:v>
      </x:c>
      <x:c r="J48" s="9" t="n">
        <x:v>2</x:v>
      </x:c>
      <x:c r="K48" s="9" t="n">
        <x:v>1</x:v>
      </x:c>
      <x:c r="L48" s="9" t="n">
        <x:v>3</x:v>
      </x:c>
      <x:c r="M48" s="12" t="n">
        <x:v>2.35</x:v>
      </x:c>
      <x:c r="N48" s="9" t="inlineStr">
        <x:is>
          <x:t xml:space="preserve">Perfilería de acero galvanizado liviano</x:t>
        </x:is>
      </x:c>
      <x:c r="O48" s="10" t="inlineStr">
        <x:is>
          <x:t xml:space="preserve">Acero galvanizado + placa OSB/fibrocemento + cámara técnica</x:t>
        </x:is>
      </x:c>
      <x:c r="P48" s="15" t="n">
        <x:v>140</x:v>
      </x:c>
      <x:c r="Q48" s="9" t="inlineStr">
        <x:is>
          <x:t xml:space="preserve">Lana mineral o lana de roca / PET / EPS según zona térmica</x:t>
        </x:is>
      </x:c>
      <x:c r="R48" s="15" t="n">
        <x:v>90</x:v>
      </x:c>
      <x:c r="S48" s="10" t="inlineStr">
        <x:is>
          <x:t xml:space="preserve">Cerchas o paneles steel frame + cubierta metálica</x:t>
        </x:is>
      </x:c>
      <x:c r="T48" s="15" t="n">
        <x:v>150</x:v>
      </x:c>
      <x:c r="U48" s="10" t="inlineStr">
        <x:is>
          <x:t xml:space="preserve">Lana mineral / lana de roca + barrera de vapor</x:t>
        </x:is>
      </x:c>
      <x:c r="V48" s="9" t="inlineStr">
        <x:is>
          <x:t xml:space="preserve">Envigado metálico o plataforma estructural</x:t>
        </x:is>
      </x:c>
      <x:c r="W48" s="10" t="inlineStr">
        <x:is>
          <x:t xml:space="preserve">Lana mineral 50-100 mm + placas estructurales</x:t>
        </x:is>
      </x:c>
      <x:c r="X48" s="9" t="inlineStr">
        <x:is>
          <x:t xml:space="preserve">Aluminio RPT termopanel</x:t>
        </x:is>
      </x:c>
      <x:c r="Y48" s="9" t="inlineStr">
        <x:is>
          <x:t xml:space="preserve">Plancha metálica</x:t>
        </x:is>
      </x:c>
      <x:c r="Z48" s="9" t="inlineStr">
        <x:is>
          <x:t xml:space="preserve">Yeso cartón RF</x:t>
        </x:is>
      </x:c>
      <x:c r="AA48" s="9" t="inlineStr">
        <x:is>
          <x:t xml:space="preserve">Vigas de fundación y radier</x:t>
        </x:is>
      </x:c>
      <x:c r="AB48" s="15" t="n">
        <x:v>8</x:v>
      </x:c>
      <x:c r="AC48" s="15" t="n">
        <x:v>6</x:v>
      </x:c>
      <x:c r="AD48" s="9" t="inlineStr">
        <x:is>
          <x:t xml:space="preserve">Parcela</x:t>
        </x:is>
      </x:c>
      <x:c r="AE48" s="9" t="inlineStr">
        <x:is>
          <x:t xml:space="preserve">Centro templado</x:t>
        </x:is>
      </x:c>
      <x:c r="AF48" s="10" t="inlineStr">
        <x:is>
          <x:t xml:space="preserve">Criterio térmico referencial OGUC / reglamentación térmica vigente</x:t>
        </x:is>
      </x:c>
      <x:c r="AG48" s="10" t="inlineStr">
        <x:is>
          <x:t xml:space="preserve">https://www.steelframe.cl/ | https://vhaceros.cl/blog/steel-framing-principios-estructurales-y-ventajas-en-la-construccion-chilena/</x:t>
        </x:is>
      </x:c>
      <x:c r="AH48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(90 mm); cubierta Cerchas o paneles steel frame + cubierta metálica de 150 mm; ventanas Aluminio RPT termopanel; revestimiento exterior Plancha metálica; interior Yeso cartón RF; fundación sugerida Pilotes.</x:t>
        </x:is>
      </x:c>
    </x:row>
    <x:row r="49" ht="32" customHeight="1">
      <x:c r="A49" s="9" t="inlineStr">
        <x:is>
          <x:t xml:space="preserve">MOD-0048</x:t>
        </x:is>
      </x:c>
      <x:c r="B49" s="9" t="inlineStr">
        <x:is>
          <x:t xml:space="preserve">EMP-010</x:t>
        </x:is>
      </x:c>
      <x:c r="C49" s="9" t="inlineStr">
        <x:is>
          <x:t xml:space="preserve">Colbún 80</x:t>
        </x:is>
      </x:c>
      <x:c r="D49" s="9" t="inlineStr">
        <x:is>
          <x:t xml:space="preserve">Colbún</x:t>
        </x:is>
      </x:c>
      <x:c r="E49" s="9" t="inlineStr">
        <x:is>
          <x:t xml:space="preserve">Archipiélago</x:t>
        </x:is>
      </x:c>
      <x:c r="F49" s="9" t="inlineStr">
        <x:is>
          <x:t xml:space="preserve">Sí</x:t>
        </x:is>
      </x:c>
      <x:c r="G49" s="9" t="inlineStr">
        <x:is>
          <x:t xml:space="preserve">SIP</x:t>
        </x:is>
      </x:c>
      <x:c r="H49" s="15" t="n">
        <x:v>80</x:v>
      </x:c>
      <x:c r="I49" s="9" t="n">
        <x:v>3</x:v>
      </x:c>
      <x:c r="J49" s="9" t="n">
        <x:v>2</x:v>
      </x:c>
      <x:c r="K49" s="9" t="n">
        <x:v>1</x:v>
      </x:c>
      <x:c r="L49" s="9" t="n">
        <x:v>2</x:v>
      </x:c>
      <x:c r="M49" s="12" t="n">
        <x:v>2.5</x:v>
      </x:c>
      <x:c r="N49" s="9" t="inlineStr">
        <x:is>
          <x:t xml:space="preserve">Panel SIP estructural OSB/EPS/OSB</x:t>
        </x:is>
      </x:c>
      <x:c r="O49" s="10" t="inlineStr">
        <x:is>
          <x:t xml:space="preserve">2 placas OSB estructural + núcleo EPS alta densidad</x:t>
        </x:is>
      </x:c>
      <x:c r="P49" s="15" t="n">
        <x:v>75</x:v>
      </x:c>
      <x:c r="Q49" s="9" t="inlineStr">
        <x:is>
          <x:t xml:space="preserve">EPS alta densidad 15 kg/m³</x:t>
        </x:is>
      </x:c>
      <x:c r="R49" s="15" t="n">
        <x:v>53</x:v>
      </x:c>
      <x:c r="S49" s="10" t="inlineStr">
        <x:is>
          <x:t xml:space="preserve">Panel SIP de cubierta + membrana hidrófuga + hojalatería</x:t>
        </x:is>
      </x:c>
      <x:c r="T49" s="15" t="n">
        <x:v>164</x:v>
      </x:c>
      <x:c r="U49" s="10" t="inlineStr">
        <x:is>
          <x:t xml:space="preserve">EPS integrado + sellos PU</x:t>
        </x:is>
      </x:c>
      <x:c r="V49" s="9" t="inlineStr">
        <x:is>
          <x:t xml:space="preserve">Base entramado madera o radier con barrera de humedad</x:t>
        </x:is>
      </x:c>
      <x:c r="W49" s="10" t="inlineStr">
        <x:is>
          <x:t xml:space="preserve">Aislación bajo piso PET o lana mineral 50-100 mm</x:t>
        </x:is>
      </x:c>
      <x:c r="X49" s="9" t="inlineStr">
        <x:is>
          <x:t xml:space="preserve">PVC DVH</x:t>
        </x:is>
      </x:c>
      <x:c r="Y49" s="9" t="inlineStr">
        <x:is>
          <x:t xml:space="preserve">Madera tratada</x:t>
        </x:is>
      </x:c>
      <x:c r="Z49" s="9" t="inlineStr">
        <x:is>
          <x:t xml:space="preserve">Yeso cartón RH en zonas húmedas</x:t>
        </x:is>
      </x:c>
      <x:c r="AA49" s="9" t="inlineStr">
        <x:is>
          <x:t xml:space="preserve">Pilotes metálicos</x:t>
        </x:is>
      </x:c>
      <x:c r="AB49" s="15" t="n">
        <x:v>4</x:v>
      </x:c>
      <x:c r="AC49" s="15" t="n">
        <x:v>11</x:v>
      </x:c>
      <x:c r="AD49" s="9" t="inlineStr">
        <x:is>
          <x:t xml:space="preserve">Primera vivienda</x:t>
        </x:is>
      </x:c>
      <x:c r="AE49" s="9" t="inlineStr">
        <x:is>
          <x:t xml:space="preserve">Centro templado</x:t>
        </x:is>
      </x:c>
      <x:c r="AF49" s="10" t="inlineStr">
        <x:is>
          <x:t xml:space="preserve">NCh3393:2016 (referencial para paneles SIP)</x:t>
        </x:is>
      </x:c>
      <x:c r="AG4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49" s="10" t="inlineStr">
        <x:is>
          <x:t xml:space="preserve">Estructura: Panel SIP estructural con uniones en pino seco; muros 2 placas OSB estructural + núcleo EPS alta densidad de 75 mm con aislación EPS alta densidad 15 kg/m³ (53 mm); cubierta Panel SIP de cubierta + membrana hidrófuga + hojalatería de 164 mm; ventanas PVC DVH; revestimiento exterior Siding fibrocemento; interior MDF en zonas secas; fundación sugerida Fundación corrida.</x:t>
        </x:is>
      </x:c>
    </x:row>
    <x:row r="50" ht="32" customHeight="1">
      <x:c r="A50" s="9" t="inlineStr">
        <x:is>
          <x:t xml:space="preserve">MOD-0049</x:t>
        </x:is>
      </x:c>
      <x:c r="B50" s="9" t="inlineStr">
        <x:is>
          <x:t xml:space="preserve">EMP-010</x:t>
        </x:is>
      </x:c>
      <x:c r="C50" s="9" t="inlineStr">
        <x:is>
          <x:t xml:space="preserve">Vichuquén 132</x:t>
        </x:is>
      </x:c>
      <x:c r="D50" s="9" t="inlineStr">
        <x:is>
          <x:t xml:space="preserve">Vichuquén</x:t>
        </x:is>
      </x:c>
      <x:c r="E50" s="9" t="inlineStr">
        <x:is>
          <x:t xml:space="preserve">Río</x:t>
        </x:is>
      </x:c>
      <x:c r="F50" s="9" t="inlineStr">
        <x:is>
          <x:t xml:space="preserve">Sí</x:t>
        </x:is>
      </x:c>
      <x:c r="G50" s="9" t="inlineStr">
        <x:is>
          <x:t xml:space="preserve">MODULAR_TIMBER</x:t>
        </x:is>
      </x:c>
      <x:c r="H50" s="15" t="n">
        <x:v>132</x:v>
      </x:c>
      <x:c r="I50" s="9" t="n">
        <x:v>3</x:v>
      </x:c>
      <x:c r="J50" s="9" t="n">
        <x:v>2</x:v>
      </x:c>
      <x:c r="K50" s="9" t="n">
        <x:v>1</x:v>
      </x:c>
      <x:c r="L50" s="9" t="n">
        <x:v>3</x:v>
      </x:c>
      <x:c r="M50" s="12" t="n">
        <x:v>2.45</x:v>
      </x:c>
      <x:c r="N50" s="9" t="inlineStr">
        <x:is>
          <x:t xml:space="preserve">Wood frame modular</x:t>
        </x:is>
      </x:c>
      <x:c r="O50" s="10" t="inlineStr">
        <x:is>
          <x:t xml:space="preserve">Madera estructural + OSB / terciado + barrera hidrófuga</x:t>
        </x:is>
      </x:c>
      <x:c r="P50" s="15" t="n">
        <x:v>140</x:v>
      </x:c>
      <x:c r="Q50" s="9" t="inlineStr">
        <x:is>
          <x:t xml:space="preserve">Lana mineral / lana de vidrio / PET reciclado</x:t>
        </x:is>
      </x:c>
      <x:c r="R50" s="15" t="n">
        <x:v>80</x:v>
      </x:c>
      <x:c r="S50" s="10" t="inlineStr">
        <x:is>
          <x:t xml:space="preserve">Cercha de madera + cubierta metálica o tejuela asfáltica</x:t>
        </x:is>
      </x:c>
      <x:c r="T50" s="15" t="n">
        <x:v>180</x:v>
      </x:c>
      <x:c r="U50" s="10" t="inlineStr">
        <x:is>
          <x:t xml:space="preserve">Lana mineral 80-140 mm + membrana</x:t>
        </x:is>
      </x:c>
      <x:c r="V50" s="9" t="inlineStr">
        <x:is>
          <x:t xml:space="preserve">Plataforma de madera estructural o radier</x:t>
        </x:is>
      </x:c>
      <x:c r="W50" s="10" t="inlineStr">
        <x:is>
          <x:t xml:space="preserve">Lana mineral 50-100 mm / barrera humedad</x:t>
        </x:is>
      </x:c>
      <x:c r="X50" s="9" t="inlineStr">
        <x:is>
          <x:t xml:space="preserve">PVC termopanel</x:t>
        </x:is>
      </x:c>
      <x:c r="Y50" s="9" t="inlineStr">
        <x:is>
          <x:t xml:space="preserve">Madera tratada</x:t>
        </x:is>
      </x:c>
      <x:c r="Z50" s="9" t="inlineStr">
        <x:is>
          <x:t xml:space="preserve">Terciado pintado</x:t>
        </x:is>
      </x:c>
      <x:c r="AA50" s="9" t="inlineStr">
        <x:is>
          <x:t xml:space="preserve">Radier</x:t>
        </x:is>
      </x:c>
      <x:c r="AB50" s="15" t="n">
        <x:v>7</x:v>
      </x:c>
      <x:c r="AC50" s="15" t="n">
        <x:v>8</x:v>
      </x:c>
      <x:c r="AD50" s="9" t="inlineStr">
        <x:is>
          <x:t xml:space="preserve">Turismo / arriendo</x:t>
        </x:is>
      </x:c>
      <x:c r="AE50" s="9" t="inlineStr">
        <x:is>
          <x:t xml:space="preserve">Centro templado</x:t>
        </x:is>
      </x:c>
      <x:c r="AF50" s="10" t="inlineStr">
        <x:is>
          <x:t xml:space="preserve">Especificaciones técnicas de vivienda industrializada en madera (referencial)</x:t>
        </x:is>
      </x:c>
      <x:c r="AG50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50" s="10" t="inlineStr">
        <x:is>
          <x:t xml:space="preserve">Estructura: Madera laminada y entramado ligero; muros Madera estructural + OSB / terciado + barrera hidrófuga de 140 mm con aislación Lana mineral / lana de vidrio / PET reciclado (80 mm); cubierta Cercha de madera + cubierta metálica o tejuela asfáltica de 180 mm; ventanas Aluminio termopanel; revestimiento exterior Madera tratada; interior MDF ranurado; fundación sugerida Radier.</x:t>
        </x:is>
      </x:c>
    </x:row>
    <x:row r="51" ht="32" customHeight="1">
      <x:c r="A51" s="9" t="inlineStr">
        <x:is>
          <x:t xml:space="preserve">MOD-0050</x:t>
        </x:is>
      </x:c>
      <x:c r="B51" s="9" t="inlineStr">
        <x:is>
          <x:t xml:space="preserve">EMP-010</x:t>
        </x:is>
      </x:c>
      <x:c r="C51" s="9" t="inlineStr">
        <x:is>
          <x:t xml:space="preserve">Chapo 176</x:t>
        </x:is>
      </x:c>
      <x:c r="D51" s="9" t="inlineStr">
        <x:is>
          <x:t xml:space="preserve">Chapo</x:t>
        </x:is>
      </x:c>
      <x:c r="E51" s="9" t="inlineStr">
        <x:is>
          <x:t xml:space="preserve">Ciudad</x:t>
        </x:is>
      </x:c>
      <x:c r="F51" s="9" t="inlineStr">
        <x:is>
          <x:t xml:space="preserve">Sí</x:t>
        </x:is>
      </x:c>
      <x:c r="G51" s="9" t="inlineStr">
        <x:is>
          <x:t xml:space="preserve">HYBRID_MODULAR</x:t>
        </x:is>
      </x:c>
      <x:c r="H51" s="15" t="n">
        <x:v>176</x:v>
      </x:c>
      <x:c r="I51" s="9" t="n">
        <x:v>4</x:v>
      </x:c>
      <x:c r="J51" s="9" t="n">
        <x:v>3</x:v>
      </x:c>
      <x:c r="K51" s="9" t="n">
        <x:v>2</x:v>
      </x:c>
      <x:c r="L51" s="9" t="n">
        <x:v>4</x:v>
      </x:c>
      <x:c r="M51" s="12" t="n">
        <x:v>2.5</x:v>
      </x:c>
      <x:c r="N51" s="9" t="inlineStr">
        <x:is>
          <x:t xml:space="preserve">Módulos de acero + paneles SIP</x:t>
        </x:is>
      </x:c>
      <x:c r="O51" s="10" t="inlineStr">
        <x:is>
          <x:t xml:space="preserve">Acero galvanizado o madera laminada + panel SIP MgO/OSB</x:t>
        </x:is>
      </x:c>
      <x:c r="P51" s="15" t="n">
        <x:v>120</x:v>
      </x:c>
      <x:c r="Q51" s="9" t="inlineStr">
        <x:is>
          <x:t xml:space="preserve">Lana mineral 75-100 mm o EPS integrado</x:t>
        </x:is>
      </x:c>
      <x:c r="R51" s="15" t="n">
        <x:v>75</x:v>
      </x:c>
      <x:c r="S51" s="10" t="inlineStr">
        <x:is>
          <x:t xml:space="preserve">Módulo volumétrico con cubierta panelizada</x:t>
        </x:is>
      </x:c>
      <x:c r="T51" s="15" t="n">
        <x:v>140</x:v>
      </x:c>
      <x:c r="U51" s="10" t="inlineStr">
        <x:is>
          <x:t xml:space="preserve">Lana mineral / EPS / barrera vapor</x:t>
        </x:is>
      </x:c>
      <x:c r="V51" s="9" t="inlineStr">
        <x:is>
          <x:t xml:space="preserve">Bastidor metálico o madera laminada</x:t>
        </x:is>
      </x:c>
      <x:c r="W51" s="10" t="inlineStr">
        <x:is>
          <x:t xml:space="preserve">Lana mineral 80-100 mm + fibrocemento</x:t>
        </x:is>
      </x:c>
      <x:c r="X51" s="9" t="inlineStr">
        <x:is>
          <x:t xml:space="preserve">PVC termopanel</x:t>
        </x:is>
      </x:c>
      <x:c r="Y51" s="9" t="inlineStr">
        <x:is>
          <x:t xml:space="preserve">Fibrocemento tipo siding</x:t>
        </x:is>
      </x:c>
      <x:c r="Z51" s="9" t="inlineStr">
        <x:is>
          <x:t xml:space="preserve">Melamina blanca</x:t>
        </x:is>
      </x:c>
      <x:c r="AA51" s="9" t="inlineStr">
        <x:is>
          <x:t xml:space="preserve">Radier</x:t>
        </x:is>
      </x:c>
      <x:c r="AB51" s="15" t="n">
        <x:v>6</x:v>
      </x:c>
      <x:c r="AC51" s="15" t="n">
        <x:v>5</x:v>
      </x:c>
      <x:c r="AD51" s="9" t="inlineStr">
        <x:is>
          <x:t xml:space="preserve">Turismo / arriendo</x:t>
        </x:is>
      </x:c>
      <x:c r="AE51" s="9" t="inlineStr">
        <x:is>
          <x:t xml:space="preserve">Centro templado</x:t>
        </x:is>
      </x:c>
      <x:c r="AF51" s="10" t="inlineStr">
        <x:is>
          <x:t xml:space="preserve">Criterios de prefabricación modular y coordinación BIM (referencial)</x:t>
        </x:is>
      </x:c>
      <x:c r="AG51" s="10" t="inlineStr">
        <x:is>
          <x:t xml:space="preserve">https://modul.cl/construccion-de-casas-prefabricadas-modulares/ | https://tecnofasthome.cl/casas-modulares/</x:t>
        </x:is>
      </x:c>
      <x:c r="AH51" s="10" t="inlineStr">
        <x:is>
          <x:t xml:space="preserve">Estructura: Estructura híbrida acero-madera panelizada; muros Acero galvanizado o madera laminada + panel SIP MgO/OSB de 120 mm con aislación Lana mineral 75-100 mm o EPS integrado (75 mm); cubierta Módulo volumétrico con cubierta panelizada de 140 mm; ventanas PVC termopanel; revestimiento exterior Madera tratada; interior Yeso cartón RH; fundación sugerida Dados de hormigón.</x:t>
        </x:is>
      </x:c>
    </x:row>
    <x:row r="52" ht="32" customHeight="1">
      <x:c r="A52" s="9" t="inlineStr">
        <x:is>
          <x:t xml:space="preserve">MOD-0051</x:t>
        </x:is>
      </x:c>
      <x:c r="B52" s="9" t="inlineStr">
        <x:is>
          <x:t xml:space="preserve">EMP-011</x:t>
        </x:is>
      </x:c>
      <x:c r="C52" s="9" t="inlineStr">
        <x:is>
          <x:t xml:space="preserve">Maihue 66</x:t>
        </x:is>
      </x:c>
      <x:c r="D52" s="9" t="inlineStr">
        <x:is>
          <x:t xml:space="preserve">Maihue</x:t>
        </x:is>
      </x:c>
      <x:c r="E52" s="9" t="inlineStr">
        <x:is>
          <x:t xml:space="preserve">Archipiélago</x:t>
        </x:is>
      </x:c>
      <x:c r="F52" s="9" t="inlineStr">
        <x:is>
          <x:t xml:space="preserve">Sí</x:t>
        </x:is>
      </x:c>
      <x:c r="G52" s="9" t="inlineStr">
        <x:is>
          <x:t xml:space="preserve">SIP</x:t>
        </x:is>
      </x:c>
      <x:c r="H52" s="15" t="n">
        <x:v>66</x:v>
      </x:c>
      <x:c r="I52" s="9" t="n">
        <x:v>2</x:v>
      </x:c>
      <x:c r="J52" s="9" t="n">
        <x:v>2</x:v>
      </x:c>
      <x:c r="K52" s="9" t="n">
        <x:v>1</x:v>
      </x:c>
      <x:c r="L52" s="9" t="n">
        <x:v>2</x:v>
      </x:c>
      <x:c r="M52" s="12" t="n">
        <x:v>2.45</x:v>
      </x:c>
      <x:c r="N52" s="9" t="inlineStr">
        <x:is>
          <x:t xml:space="preserve">Panel SIP estructural OSB/EPS/OSB</x:t>
        </x:is>
      </x:c>
      <x:c r="O52" s="10" t="inlineStr">
        <x:is>
          <x:t xml:space="preserve">2 placas OSB estructural + núcleo EPS alta densidad</x:t>
        </x:is>
      </x:c>
      <x:c r="P52" s="15" t="n">
        <x:v>130</x:v>
      </x:c>
      <x:c r="Q52" s="9" t="inlineStr">
        <x:is>
          <x:t xml:space="preserve">EPS alta densidad 15 kg/m³</x:t>
        </x:is>
      </x:c>
      <x:c r="R52" s="15" t="n">
        <x:v>105</x:v>
      </x:c>
      <x:c r="S52" s="10" t="inlineStr">
        <x:is>
          <x:t xml:space="preserve">Panel SIP de cubierta + membrana hidrófuga + hojalatería</x:t>
        </x:is>
      </x:c>
      <x:c r="T52" s="15" t="n">
        <x:v>130</x:v>
      </x:c>
      <x:c r="U52" s="10" t="inlineStr">
        <x:is>
          <x:t xml:space="preserve">EPS integrado + sellos PU</x:t>
        </x:is>
      </x:c>
      <x:c r="V52" s="9" t="inlineStr">
        <x:is>
          <x:t xml:space="preserve">Base entramado madera o radier con barrera de humedad</x:t>
        </x:is>
      </x:c>
      <x:c r="W52" s="10" t="inlineStr">
        <x:is>
          <x:t xml:space="preserve">Aislación bajo piso PET o lana mineral 50-100 mm</x:t>
        </x:is>
      </x:c>
      <x:c r="X52" s="9" t="inlineStr">
        <x:is>
          <x:t xml:space="preserve">PVC DVH</x:t>
        </x:is>
      </x:c>
      <x:c r="Y52" s="9" t="inlineStr">
        <x:is>
          <x:t xml:space="preserve">Smart Panel</x:t>
        </x:is>
      </x:c>
      <x:c r="Z52" s="9" t="inlineStr">
        <x:is>
          <x:t xml:space="preserve">OSB sellado y pintado</x:t>
        </x:is>
      </x:c>
      <x:c r="AA52" s="9" t="inlineStr">
        <x:is>
          <x:t xml:space="preserve">Sobrecimientos y radier</x:t>
        </x:is>
      </x:c>
      <x:c r="AB52" s="15" t="n">
        <x:v>7</x:v>
      </x:c>
      <x:c r="AC52" s="15" t="n">
        <x:v>5</x:v>
      </x:c>
      <x:c r="AD52" s="9" t="inlineStr">
        <x:is>
          <x:t xml:space="preserve">Oficina + vivienda</x:t>
        </x:is>
      </x:c>
      <x:c r="AE52" s="9" t="inlineStr">
        <x:is>
          <x:t xml:space="preserve">Centro templado</x:t>
        </x:is>
      </x:c>
      <x:c r="AF52" s="10" t="inlineStr">
        <x:is>
          <x:t xml:space="preserve">NCh3393:2016 (referencial para paneles SIP)</x:t>
        </x:is>
      </x:c>
      <x:c r="AG5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2" s="10" t="inlineStr">
        <x:is>
          <x:t xml:space="preserve">Estructura: Panel SIP estructural OSB/EPS/OSB; muros 2 placas OSB estructural + núcleo EPS alta densidad de 130 mm con aislación EPS alta densidad 15 kg/m³ (105 mm); cubierta Panel SIP de cubierta + membrana hidrófuga + hojalatería de 130 mm; ventanas Aluminio con termopanel; revestimiento exterior Siding fibrocemento; interior Yeso cartón RH en zonas húmedas; fundación sugerida Sobrecimientos y radier.</x:t>
        </x:is>
      </x:c>
    </x:row>
    <x:row r="53" ht="32" customHeight="1">
      <x:c r="A53" s="9" t="inlineStr">
        <x:is>
          <x:t xml:space="preserve">MOD-0052</x:t>
        </x:is>
      </x:c>
      <x:c r="B53" s="9" t="inlineStr">
        <x:is>
          <x:t xml:space="preserve">EMP-011</x:t>
        </x:is>
      </x:c>
      <x:c r="C53" s="9" t="inlineStr">
        <x:is>
          <x:t xml:space="preserve">Panguipulli 72</x:t>
        </x:is>
      </x:c>
      <x:c r="D53" s="9" t="inlineStr">
        <x:is>
          <x:t xml:space="preserve">Panguipulli</x:t>
        </x:is>
      </x:c>
      <x:c r="E53" s="9" t="inlineStr">
        <x:is>
          <x:t xml:space="preserve">Valle</x:t>
        </x:is>
      </x:c>
      <x:c r="F53" s="9" t="inlineStr">
        <x:is>
          <x:t xml:space="preserve">Sí</x:t>
        </x:is>
      </x:c>
      <x:c r="G53" s="9" t="inlineStr">
        <x:is>
          <x:t xml:space="preserve">SIP</x:t>
        </x:is>
      </x:c>
      <x:c r="H53" s="15" t="n">
        <x:v>72</x:v>
      </x:c>
      <x:c r="I53" s="9" t="n">
        <x:v>2</x:v>
      </x:c>
      <x:c r="J53" s="9" t="n">
        <x:v>2</x:v>
      </x:c>
      <x:c r="K53" s="9" t="n">
        <x:v>1</x:v>
      </x:c>
      <x:c r="L53" s="9" t="n">
        <x:v>2</x:v>
      </x:c>
      <x:c r="M53" s="12" t="n">
        <x:v>2.35</x:v>
      </x:c>
      <x:c r="N53" s="9" t="inlineStr">
        <x:is>
          <x:t xml:space="preserve">Panel SIP estructural con uniones en pino seco</x:t>
        </x:is>
      </x:c>
      <x:c r="O53" s="10" t="inlineStr">
        <x:is>
          <x:t xml:space="preserve">2 placas OSB estructural + núcleo EPS alta densidad</x:t>
        </x:is>
      </x:c>
      <x:c r="P53" s="15" t="n">
        <x:v>75</x:v>
      </x:c>
      <x:c r="Q53" s="9" t="inlineStr">
        <x:is>
          <x:t xml:space="preserve">EPS alta densidad 15 kg/m³</x:t>
        </x:is>
      </x:c>
      <x:c r="R53" s="15" t="n">
        <x:v>68</x:v>
      </x:c>
      <x:c r="S53" s="10" t="inlineStr">
        <x:is>
          <x:t xml:space="preserve">Panel SIP de cubierta + membrana hidrófuga + hojalatería</x:t>
        </x:is>
      </x:c>
      <x:c r="T53" s="15" t="n">
        <x:v>130</x:v>
      </x:c>
      <x:c r="U53" s="10" t="inlineStr">
        <x:is>
          <x:t xml:space="preserve">EPS integrado + sellos PU</x:t>
        </x:is>
      </x:c>
      <x:c r="V53" s="9" t="inlineStr">
        <x:is>
          <x:t xml:space="preserve">Base entramado madera o radier con barrera de humedad</x:t>
        </x:is>
      </x:c>
      <x:c r="W53" s="10" t="inlineStr">
        <x:is>
          <x:t xml:space="preserve">Aislación bajo piso PET o lana mineral 50-100 mm</x:t>
        </x:is>
      </x:c>
      <x:c r="X53" s="9" t="inlineStr">
        <x:is>
          <x:t xml:space="preserve">PVC termopanel</x:t>
        </x:is>
      </x:c>
      <x:c r="Y53" s="9" t="inlineStr">
        <x:is>
          <x:t xml:space="preserve">Madera tratada</x:t>
        </x:is>
      </x:c>
      <x:c r="Z53" s="9" t="inlineStr">
        <x:is>
          <x:t xml:space="preserve">OSB sellado y pintado</x:t>
        </x:is>
      </x:c>
      <x:c r="AA53" s="9" t="inlineStr">
        <x:is>
          <x:t xml:space="preserve">Fundación corrida</x:t>
        </x:is>
      </x:c>
      <x:c r="AB53" s="15" t="n">
        <x:v>4</x:v>
      </x:c>
      <x:c r="AC53" s="15" t="n">
        <x:v>6</x:v>
      </x:c>
      <x:c r="AD53" s="9" t="inlineStr">
        <x:is>
          <x:t xml:space="preserve">Oficina + vivienda</x:t>
        </x:is>
      </x:c>
      <x:c r="AE53" s="9" t="inlineStr">
        <x:is>
          <x:t xml:space="preserve">Centro templado</x:t>
        </x:is>
      </x:c>
      <x:c r="AF53" s="10" t="inlineStr">
        <x:is>
          <x:t xml:space="preserve">NCh3393:2016 (referencial para paneles SIP)</x:t>
        </x:is>
      </x:c>
      <x:c r="AG53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3" s="10" t="inlineStr">
        <x:is>
          <x:t xml:space="preserve">Estructura: Panel SIP estructural con uniones en pino seco; muros 2 placas OSB estructural + núcleo EPS alta densidad de 75 mm con aislación EPS alta densidad 15 kg/m³ (68 mm); cubierta Panel SIP de cubierta + membrana hidrófuga + hojalatería de 130 mm; ventanas PVC DVH; revestimiento exterior Smart Panel; interior MDF en zonas secas; fundación sugerida Fundación corrida.</x:t>
        </x:is>
      </x:c>
    </x:row>
    <x:row r="54" ht="32" customHeight="1">
      <x:c r="A54" s="9" t="inlineStr">
        <x:is>
          <x:t xml:space="preserve">MOD-0053</x:t>
        </x:is>
      </x:c>
      <x:c r="B54" s="9" t="inlineStr">
        <x:is>
          <x:t xml:space="preserve">EMP-011</x:t>
        </x:is>
      </x:c>
      <x:c r="C54" s="9" t="inlineStr">
        <x:is>
          <x:t xml:space="preserve">Riñihue 104</x:t>
        </x:is>
      </x:c>
      <x:c r="D54" s="9" t="inlineStr">
        <x:is>
          <x:t xml:space="preserve">Riñihue</x:t>
        </x:is>
      </x:c>
      <x:c r="E54" s="9" t="inlineStr">
        <x:is>
          <x:t xml:space="preserve">Río</x:t>
        </x:is>
      </x:c>
      <x:c r="F54" s="9" t="inlineStr">
        <x:is>
          <x:t xml:space="preserve">Sí</x:t>
        </x:is>
      </x:c>
      <x:c r="G54" s="9" t="inlineStr">
        <x:is>
          <x:t xml:space="preserve">MODULAR_TIMBER</x:t>
        </x:is>
      </x:c>
      <x:c r="H54" s="15" t="n">
        <x:v>104</x:v>
      </x:c>
      <x:c r="I54" s="9" t="n">
        <x:v>3</x:v>
      </x:c>
      <x:c r="J54" s="9" t="n">
        <x:v>2</x:v>
      </x:c>
      <x:c r="K54" s="9" t="n">
        <x:v>1</x:v>
      </x:c>
      <x:c r="L54" s="9" t="n">
        <x:v>3</x:v>
      </x:c>
      <x:c r="M54" s="12" t="n">
        <x:v>2.35</x:v>
      </x:c>
      <x:c r="N54" s="9" t="inlineStr">
        <x:is>
          <x:t xml:space="preserve">Madera laminada y entramado ligero</x:t>
        </x:is>
      </x:c>
      <x:c r="O54" s="10" t="inlineStr">
        <x:is>
          <x:t xml:space="preserve">Madera estructural + OSB / terciado + barrera hidrófuga</x:t>
        </x:is>
      </x:c>
      <x:c r="P54" s="15" t="n">
        <x:v>89</x:v>
      </x:c>
      <x:c r="Q54" s="9" t="inlineStr">
        <x:is>
          <x:t xml:space="preserve">Lana mineral / lana de vidrio / PET reciclado</x:t>
        </x:is>
      </x:c>
      <x:c r="R54" s="15" t="n">
        <x:v>80</x:v>
      </x:c>
      <x:c r="S54" s="10" t="inlineStr">
        <x:is>
          <x:t xml:space="preserve">Cercha de madera + cubierta metálica o tejuela asfáltica</x:t>
        </x:is>
      </x:c>
      <x:c r="T54" s="15" t="n">
        <x:v>180</x:v>
      </x:c>
      <x:c r="U54" s="10" t="inlineStr">
        <x:is>
          <x:t xml:space="preserve">Lana mineral 80-140 mm + membrana</x:t>
        </x:is>
      </x:c>
      <x:c r="V54" s="9" t="inlineStr">
        <x:is>
          <x:t xml:space="preserve">Plataforma de madera estructural o radier</x:t>
        </x:is>
      </x:c>
      <x:c r="W54" s="10" t="inlineStr">
        <x:is>
          <x:t xml:space="preserve">Lana mineral 50-100 mm / barrera humedad</x:t>
        </x:is>
      </x:c>
      <x:c r="X54" s="9" t="inlineStr">
        <x:is>
          <x:t xml:space="preserve">Aluminio termopanel</x:t>
        </x:is>
      </x:c>
      <x:c r="Y54" s="9" t="inlineStr">
        <x:is>
          <x:t xml:space="preserve">Madera tratada</x:t>
        </x:is>
      </x:c>
      <x:c r="Z54" s="9" t="inlineStr">
        <x:is>
          <x:t xml:space="preserve">Yeso cartón</x:t>
        </x:is>
      </x:c>
      <x:c r="AA54" s="9" t="inlineStr">
        <x:is>
          <x:t xml:space="preserve">Radier</x:t>
        </x:is>
      </x:c>
      <x:c r="AB54" s="15" t="n">
        <x:v>8</x:v>
      </x:c>
      <x:c r="AC54" s="15" t="n">
        <x:v>9</x:v>
      </x:c>
      <x:c r="AD54" s="9" t="inlineStr">
        <x:is>
          <x:t xml:space="preserve">Loteo habitacional</x:t>
        </x:is>
      </x:c>
      <x:c r="AE54" s="9" t="inlineStr">
        <x:is>
          <x:t xml:space="preserve">Centro templado</x:t>
        </x:is>
      </x:c>
      <x:c r="AF54" s="10" t="inlineStr">
        <x:is>
          <x:t xml:space="preserve">Especificaciones técnicas de vivienda industrializada en madera (referencial)</x:t>
        </x:is>
      </x:c>
      <x:c r="AG54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54" s="10" t="inlineStr">
        <x:is>
          <x:t xml:space="preserve">Estructura: Entramado ligero en pino impregnado; muros Madera estructural + OSB / terciado + barrera hidrófuga de 89 mm con aislación Lana mineral / lana de vidrio / PET reciclado (80 mm); cubierta Cercha de madera + cubierta metálica o tejuela asfáltica de 180 mm; ventanas Aluminio termopanel; revestimiento exterior Madera tratada; interior Yeso cartón; fundación sugerida Pilotes.</x:t>
        </x:is>
      </x:c>
    </x:row>
    <x:row r="55" ht="32" customHeight="1">
      <x:c r="A55" s="9" t="inlineStr">
        <x:is>
          <x:t xml:space="preserve">MOD-0054</x:t>
        </x:is>
      </x:c>
      <x:c r="B55" s="9" t="inlineStr">
        <x:is>
          <x:t xml:space="preserve">EMP-011</x:t>
        </x:is>
      </x:c>
      <x:c r="C55" s="9" t="inlineStr">
        <x:is>
          <x:t xml:space="preserve">Laja 168</x:t>
        </x:is>
      </x:c>
      <x:c r="D55" s="9" t="inlineStr">
        <x:is>
          <x:t xml:space="preserve">Laja</x:t>
        </x:is>
      </x:c>
      <x:c r="E55" s="9" t="inlineStr">
        <x:is>
          <x:t xml:space="preserve">Archipiélago</x:t>
        </x:is>
      </x:c>
      <x:c r="F55" s="9" t="inlineStr">
        <x:is>
          <x:t xml:space="preserve">Sí</x:t>
        </x:is>
      </x:c>
      <x:c r="G55" s="9" t="inlineStr">
        <x:is>
          <x:t xml:space="preserve">STEEL_FRAME</x:t>
        </x:is>
      </x:c>
      <x:c r="H55" s="15" t="n">
        <x:v>168</x:v>
      </x:c>
      <x:c r="I55" s="9" t="n">
        <x:v>4</x:v>
      </x:c>
      <x:c r="J55" s="9" t="n">
        <x:v>3</x:v>
      </x:c>
      <x:c r="K55" s="9" t="n">
        <x:v>1</x:v>
      </x:c>
      <x:c r="L55" s="9" t="n">
        <x:v>4</x:v>
      </x:c>
      <x:c r="M55" s="12" t="n">
        <x:v>2.35</x:v>
      </x:c>
      <x:c r="N55" s="9" t="inlineStr">
        <x:is>
          <x:t xml:space="preserve">Perfilería de acero galvanizado liviano</x:t>
        </x:is>
      </x:c>
      <x:c r="O55" s="10" t="inlineStr">
        <x:is>
          <x:t xml:space="preserve">Acero galvanizado + placa OSB/fibrocemento + cámara técnica</x:t>
        </x:is>
      </x:c>
      <x:c r="P55" s="15" t="n">
        <x:v>160</x:v>
      </x:c>
      <x:c r="Q55" s="9" t="inlineStr">
        <x:is>
          <x:t xml:space="preserve">Lana mineral o lana de roca / PET / EPS según zona térmica</x:t>
        </x:is>
      </x:c>
      <x:c r="R55" s="15" t="n">
        <x:v>90</x:v>
      </x:c>
      <x:c r="S55" s="10" t="inlineStr">
        <x:is>
          <x:t xml:space="preserve">Cerchas o paneles steel frame + cubierta metálica</x:t>
        </x:is>
      </x:c>
      <x:c r="T55" s="15" t="n">
        <x:v>180</x:v>
      </x:c>
      <x:c r="U55" s="10" t="inlineStr">
        <x:is>
          <x:t xml:space="preserve">Lana mineral / lana de roca + barrera de vapor</x:t>
        </x:is>
      </x:c>
      <x:c r="V55" s="9" t="inlineStr">
        <x:is>
          <x:t xml:space="preserve">Envigado metálico o plataforma estructural</x:t>
        </x:is>
      </x:c>
      <x:c r="W55" s="10" t="inlineStr">
        <x:is>
          <x:t xml:space="preserve">Lana mineral 50-100 mm + placas estructurales</x:t>
        </x:is>
      </x:c>
      <x:c r="X55" s="9" t="inlineStr">
        <x:is>
          <x:t xml:space="preserve">Aluminio RPT termopanel</x:t>
        </x:is>
      </x:c>
      <x:c r="Y55" s="9" t="inlineStr">
        <x:is>
          <x:t xml:space="preserve">Plancha metálica</x:t>
        </x:is>
      </x:c>
      <x:c r="Z55" s="9" t="inlineStr">
        <x:is>
          <x:t xml:space="preserve">Yeso cartón RF</x:t>
        </x:is>
      </x:c>
      <x:c r="AA55" s="9" t="inlineStr">
        <x:is>
          <x:t xml:space="preserve">Pilotes</x:t>
        </x:is>
      </x:c>
      <x:c r="AB55" s="15" t="n">
        <x:v>6</x:v>
      </x:c>
      <x:c r="AC55" s="15" t="n">
        <x:v>13</x:v>
      </x:c>
      <x:c r="AD55" s="9" t="inlineStr">
        <x:is>
          <x:t xml:space="preserve">Segunda vivienda</x:t>
        </x:is>
      </x:c>
      <x:c r="AE55" s="9" t="inlineStr">
        <x:is>
          <x:t xml:space="preserve">Centro templado</x:t>
        </x:is>
      </x:c>
      <x:c r="AF55" s="10" t="inlineStr">
        <x:is>
          <x:t xml:space="preserve">Criterio térmico referencial OGUC / reglamentación térmica vigente</x:t>
        </x:is>
      </x:c>
      <x:c r="AG55" s="10" t="inlineStr">
        <x:is>
          <x:t xml:space="preserve">https://www.steelframe.cl/ | https://vhaceros.cl/blog/steel-framing-principios-estructurales-y-ventajas-en-la-construccion-chilena/</x:t>
        </x:is>
      </x:c>
      <x:c r="AH55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(90 mm); cubierta Cerchas o paneles steel frame + cubierta metálica de 180 mm; ventanas Aluminio RPT termopanel; revestimiento exterior Plancha metálica; interior Yeso cartón RF; fundación sugerida Radier reforzado.</x:t>
        </x:is>
      </x:c>
    </x:row>
    <x:row r="56" ht="32" customHeight="1">
      <x:c r="A56" s="9" t="inlineStr">
        <x:is>
          <x:t xml:space="preserve">MOD-0055</x:t>
        </x:is>
      </x:c>
      <x:c r="B56" s="9" t="inlineStr">
        <x:is>
          <x:t xml:space="preserve">EMP-011</x:t>
        </x:is>
      </x:c>
      <x:c r="C56" s="9" t="inlineStr">
        <x:is>
          <x:t xml:space="preserve">Chungará 192</x:t>
        </x:is>
      </x:c>
      <x:c r="D56" s="9" t="inlineStr">
        <x:is>
          <x:t xml:space="preserve">Chungará</x:t>
        </x:is>
      </x:c>
      <x:c r="E56" s="9" t="inlineStr">
        <x:is>
          <x:t xml:space="preserve">Volcán</x:t>
        </x:is>
      </x:c>
      <x:c r="F56" s="9" t="inlineStr">
        <x:is>
          <x:t xml:space="preserve">Sí</x:t>
        </x:is>
      </x:c>
      <x:c r="G56" s="9" t="inlineStr">
        <x:is>
          <x:t xml:space="preserve">HYBRID_MODULAR</x:t>
        </x:is>
      </x:c>
      <x:c r="H56" s="15" t="n">
        <x:v>192</x:v>
      </x:c>
      <x:c r="I56" s="9" t="n">
        <x:v>4</x:v>
      </x:c>
      <x:c r="J56" s="9" t="n">
        <x:v>3</x:v>
      </x:c>
      <x:c r="K56" s="9" t="n">
        <x:v>1</x:v>
      </x:c>
      <x:c r="L56" s="9" t="n">
        <x:v>4</x:v>
      </x:c>
      <x:c r="M56" s="12" t="n">
        <x:v>2.35</x:v>
      </x:c>
      <x:c r="N56" s="9" t="inlineStr">
        <x:is>
          <x:t xml:space="preserve">Estructura híbrida acero-madera panelizada</x:t>
        </x:is>
      </x:c>
      <x:c r="O56" s="10" t="inlineStr">
        <x:is>
          <x:t xml:space="preserve">Acero galvanizado o madera laminada + panel SIP MgO/OSB</x:t>
        </x:is>
      </x:c>
      <x:c r="P56" s="15" t="n">
        <x:v>140</x:v>
      </x:c>
      <x:c r="Q56" s="9" t="inlineStr">
        <x:is>
          <x:t xml:space="preserve">Lana mineral 75-100 mm o EPS integrado</x:t>
        </x:is>
      </x:c>
      <x:c r="R56" s="15" t="n">
        <x:v>100</x:v>
      </x:c>
      <x:c r="S56" s="10" t="inlineStr">
        <x:is>
          <x:t xml:space="preserve">Módulo volumétrico con cubierta panelizada</x:t>
        </x:is>
      </x:c>
      <x:c r="T56" s="15" t="n">
        <x:v>160</x:v>
      </x:c>
      <x:c r="U56" s="10" t="inlineStr">
        <x:is>
          <x:t xml:space="preserve">Lana mineral / EPS / barrera vapor</x:t>
        </x:is>
      </x:c>
      <x:c r="V56" s="9" t="inlineStr">
        <x:is>
          <x:t xml:space="preserve">Bastidor metálico o madera laminada</x:t>
        </x:is>
      </x:c>
      <x:c r="W56" s="10" t="inlineStr">
        <x:is>
          <x:t xml:space="preserve">Lana mineral 80-100 mm + fibrocemento</x:t>
        </x:is>
      </x:c>
      <x:c r="X56" s="9" t="inlineStr">
        <x:is>
          <x:t xml:space="preserve">PVC termopanel</x:t>
        </x:is>
      </x:c>
      <x:c r="Y56" s="9" t="inlineStr">
        <x:is>
          <x:t xml:space="preserve">Madera tratada</x:t>
        </x:is>
      </x:c>
      <x:c r="Z56" s="9" t="inlineStr">
        <x:is>
          <x:t xml:space="preserve">Yeso cartón pintado</x:t>
        </x:is>
      </x:c>
      <x:c r="AA56" s="9" t="inlineStr">
        <x:is>
          <x:t xml:space="preserve">Radier</x:t>
        </x:is>
      </x:c>
      <x:c r="AB56" s="15" t="n">
        <x:v>10</x:v>
      </x:c>
      <x:c r="AC56" s="15" t="n">
        <x:v>10</x:v>
      </x:c>
      <x:c r="AD56" s="9" t="inlineStr">
        <x:is>
          <x:t xml:space="preserve">Loteo habitacional</x:t>
        </x:is>
      </x:c>
      <x:c r="AE56" s="9" t="inlineStr">
        <x:is>
          <x:t xml:space="preserve">Centro templado</x:t>
        </x:is>
      </x:c>
      <x:c r="AF56" s="10" t="inlineStr">
        <x:is>
          <x:t xml:space="preserve">Criterios de prefabricación modular y coordinación BIM (referencial)</x:t>
        </x:is>
      </x:c>
      <x:c r="AG56" s="10" t="inlineStr">
        <x:is>
          <x:t xml:space="preserve">https://modul.cl/construccion-de-casas-prefabricadas-modulares/ | https://tecnofasthome.cl/casas-modulares/</x:t>
        </x:is>
      </x:c>
      <x:c r="AH56" s="10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160 mm; ventanas Aluminio termopanel; revestimiento exterior Fibrocemento tipo siding; interior Melamina blanca; fundación sugerida Dados de hormigón.</x:t>
        </x:is>
      </x:c>
    </x:row>
    <x:row r="57" ht="32" customHeight="1">
      <x:c r="A57" s="9" t="inlineStr">
        <x:is>
          <x:t xml:space="preserve">MOD-0056</x:t>
        </x:is>
      </x:c>
      <x:c r="B57" s="9" t="inlineStr">
        <x:is>
          <x:t xml:space="preserve">EMP-012</x:t>
        </x:is>
      </x:c>
      <x:c r="C57" s="9" t="inlineStr">
        <x:is>
          <x:t xml:space="preserve">Peñuelas 42</x:t>
        </x:is>
      </x:c>
      <x:c r="D57" s="9" t="inlineStr">
        <x:is>
          <x:t xml:space="preserve">Peñuelas</x:t>
        </x:is>
      </x:c>
      <x:c r="E57" s="9" t="inlineStr">
        <x:is>
          <x:t xml:space="preserve">Lago</x:t>
        </x:is>
      </x:c>
      <x:c r="F57" s="9" t="inlineStr">
        <x:is>
          <x:t xml:space="preserve">Sí</x:t>
        </x:is>
      </x:c>
      <x:c r="G57" s="9" t="inlineStr">
        <x:is>
          <x:t xml:space="preserve">SIP</x:t>
        </x:is>
      </x:c>
      <x:c r="H57" s="15" t="n">
        <x:v>42</x:v>
      </x:c>
      <x:c r="I57" s="9" t="n">
        <x:v>1</x:v>
      </x:c>
      <x:c r="J57" s="9" t="n">
        <x:v>1</x:v>
      </x:c>
      <x:c r="K57" s="9" t="n">
        <x:v>1</x:v>
      </x:c>
      <x:c r="L57" s="9" t="n">
        <x:v>1</x:v>
      </x:c>
      <x:c r="M57" s="12" t="n">
        <x:v>2.4</x:v>
      </x:c>
      <x:c r="N57" s="9" t="inlineStr">
        <x:is>
          <x:t xml:space="preserve">Panel SIP estructural con uniones en pino seco</x:t>
        </x:is>
      </x:c>
      <x:c r="O57" s="10" t="inlineStr">
        <x:is>
          <x:t xml:space="preserve">2 placas OSB estructural + núcleo EPS alta densidad</x:t>
        </x:is>
      </x:c>
      <x:c r="P57" s="15" t="n">
        <x:v>90</x:v>
      </x:c>
      <x:c r="Q57" s="9" t="inlineStr">
        <x:is>
          <x:t xml:space="preserve">EPS alta densidad 15 kg/m³</x:t>
        </x:is>
      </x:c>
      <x:c r="R57" s="15" t="n">
        <x:v>53</x:v>
      </x:c>
      <x:c r="S57" s="10" t="inlineStr">
        <x:is>
          <x:t xml:space="preserve">Panel SIP de cubierta + membrana hidrófuga + hojalatería</x:t>
        </x:is>
      </x:c>
      <x:c r="T57" s="15" t="n">
        <x:v>114</x:v>
      </x:c>
      <x:c r="U57" s="10" t="inlineStr">
        <x:is>
          <x:t xml:space="preserve">EPS integrado + sellos PU</x:t>
        </x:is>
      </x:c>
      <x:c r="V57" s="9" t="inlineStr">
        <x:is>
          <x:t xml:space="preserve">Base entramado madera o radier con barrera de humedad</x:t>
        </x:is>
      </x:c>
      <x:c r="W57" s="10" t="inlineStr">
        <x:is>
          <x:t xml:space="preserve">Aislación bajo piso PET o lana mineral 50-100 mm</x:t>
        </x:is>
      </x:c>
      <x:c r="X57" s="9" t="inlineStr">
        <x:is>
          <x:t xml:space="preserve">PVC DVH</x:t>
        </x:is>
      </x:c>
      <x:c r="Y57" s="9" t="inlineStr">
        <x:is>
          <x:t xml:space="preserve">Plancha metálica prepintada</x:t>
        </x:is>
      </x:c>
      <x:c r="Z57" s="9" t="inlineStr">
        <x:is>
          <x:t xml:space="preserve">Yeso cartón RH en zonas húmedas</x:t>
        </x:is>
      </x:c>
      <x:c r="AA57" s="9" t="inlineStr">
        <x:is>
          <x:t xml:space="preserve">Fundación corrida</x:t>
        </x:is>
      </x:c>
      <x:c r="AB57" s="15" t="n">
        <x:v>5</x:v>
      </x:c>
      <x:c r="AC57" s="15" t="n">
        <x:v>10</x:v>
      </x:c>
      <x:c r="AD57" s="9" t="inlineStr">
        <x:is>
          <x:t xml:space="preserve">Loteo habitacional</x:t>
        </x:is>
      </x:c>
      <x:c r="AE57" s="9" t="inlineStr">
        <x:is>
          <x:t xml:space="preserve">Centro templado</x:t>
        </x:is>
      </x:c>
      <x:c r="AF57" s="10" t="inlineStr">
        <x:is>
          <x:t xml:space="preserve">NCh3393:2016 (referencial para paneles SIP)</x:t>
        </x:is>
      </x:c>
      <x:c r="AG5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7" s="10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114 mm; ventanas PVC termopanel; revestimiento exterior Smart Panel; interior MDF en zonas secas; fundación sugerida Fundación corrida.</x:t>
        </x:is>
      </x:c>
    </x:row>
    <x:row r="58" ht="32" customHeight="1">
      <x:c r="A58" s="9" t="inlineStr">
        <x:is>
          <x:t xml:space="preserve">MOD-0057</x:t>
        </x:is>
      </x:c>
      <x:c r="B58" s="9" t="inlineStr">
        <x:is>
          <x:t xml:space="preserve">EMP-012</x:t>
        </x:is>
      </x:c>
      <x:c r="C58" s="9" t="inlineStr">
        <x:is>
          <x:t xml:space="preserve">Yungay 72</x:t>
        </x:is>
      </x:c>
      <x:c r="D58" s="9" t="inlineStr">
        <x:is>
          <x:t xml:space="preserve">Yungay</x:t>
        </x:is>
      </x:c>
      <x:c r="E58" s="9" t="inlineStr">
        <x:is>
          <x:t xml:space="preserve">Comuna</x:t>
        </x:is>
      </x:c>
      <x:c r="F58" s="9" t="inlineStr">
        <x:is>
          <x:t xml:space="preserve">Sí</x:t>
        </x:is>
      </x:c>
      <x:c r="G58" s="9" t="inlineStr">
        <x:is>
          <x:t xml:space="preserve">STEEL_FRAME</x:t>
        </x:is>
      </x:c>
      <x:c r="H58" s="15" t="n">
        <x:v>72</x:v>
      </x:c>
      <x:c r="I58" s="9" t="n">
        <x:v>2</x:v>
      </x:c>
      <x:c r="J58" s="9" t="n">
        <x:v>2</x:v>
      </x:c>
      <x:c r="K58" s="9" t="n">
        <x:v>1</x:v>
      </x:c>
      <x:c r="L58" s="9" t="n">
        <x:v>2</x:v>
      </x:c>
      <x:c r="M58" s="12" t="n">
        <x:v>2.5</x:v>
      </x:c>
      <x:c r="N58" s="9" t="inlineStr">
        <x:is>
          <x:t xml:space="preserve">Panelizado steel frame industrializado</x:t>
        </x:is>
      </x:c>
      <x:c r="O58" s="10" t="inlineStr">
        <x:is>
          <x:t xml:space="preserve">Acero galvanizado + placa OSB/fibrocemento + cámara técnica</x:t>
        </x:is>
      </x:c>
      <x:c r="P58" s="15" t="n">
        <x:v>90</x:v>
      </x:c>
      <x:c r="Q58" s="9" t="inlineStr">
        <x:is>
          <x:t xml:space="preserve">Lana mineral o lana de roca / PET / EPS según zona térmica</x:t>
        </x:is>
      </x:c>
      <x:c r="R58" s="15" t="n">
        <x:v>100</x:v>
      </x:c>
      <x:c r="S58" s="10" t="inlineStr">
        <x:is>
          <x:t xml:space="preserve">Cerchas o paneles steel frame + cubierta metálica</x:t>
        </x:is>
      </x:c>
      <x:c r="T58" s="15" t="n">
        <x:v>180</x:v>
      </x:c>
      <x:c r="U58" s="10" t="inlineStr">
        <x:is>
          <x:t xml:space="preserve">Lana mineral / lana de roca + barrera de vapor</x:t>
        </x:is>
      </x:c>
      <x:c r="V58" s="9" t="inlineStr">
        <x:is>
          <x:t xml:space="preserve">Envigado metálico o plataforma estructural</x:t>
        </x:is>
      </x:c>
      <x:c r="W58" s="10" t="inlineStr">
        <x:is>
          <x:t xml:space="preserve">Lana mineral 50-100 mm + placas estructurales</x:t>
        </x:is>
      </x:c>
      <x:c r="X58" s="9" t="inlineStr">
        <x:is>
          <x:t xml:space="preserve">PVC termopanel</x:t>
        </x:is>
      </x:c>
      <x:c r="Y58" s="9" t="inlineStr">
        <x:is>
          <x:t xml:space="preserve">Siding fibrocemento</x:t>
        </x:is>
      </x:c>
      <x:c r="Z58" s="9" t="inlineStr">
        <x:is>
          <x:t xml:space="preserve">Yeso cartón RF</x:t>
        </x:is>
      </x:c>
      <x:c r="AA58" s="9" t="inlineStr">
        <x:is>
          <x:t xml:space="preserve">Radier reforzado</x:t>
        </x:is>
      </x:c>
      <x:c r="AB58" s="15" t="n">
        <x:v>7</x:v>
      </x:c>
      <x:c r="AC58" s="15" t="n">
        <x:v>9</x:v>
      </x:c>
      <x:c r="AD58" s="9" t="inlineStr">
        <x:is>
          <x:t xml:space="preserve">Parcela</x:t>
        </x:is>
      </x:c>
      <x:c r="AE58" s="9" t="inlineStr">
        <x:is>
          <x:t xml:space="preserve">Centro templado</x:t>
        </x:is>
      </x:c>
      <x:c r="AF58" s="10" t="inlineStr">
        <x:is>
          <x:t xml:space="preserve">Criterio térmico referencial OGUC / reglamentación térmica vigente</x:t>
        </x:is>
      </x:c>
      <x:c r="AG58" s="10" t="inlineStr">
        <x:is>
          <x:t xml:space="preserve">https://www.steelframe.cl/ | https://vhaceros.cl/blog/steel-framing-principios-estructurales-y-ventajas-en-la-construccion-chilena/</x:t>
        </x:is>
      </x:c>
      <x:c r="AH58" s="10" t="inlineStr">
        <x:is>
          <x:t xml:space="preserve">Estructura: Perfilería de acero galvanizado liviano; muros Acero galvanizado + placa OSB/fibrocemento + cámara técnica de 90 mm con aislación Lana mineral o lana de roca / PET / EPS según zona térmica (100 mm); cubierta Cerchas o paneles steel frame + cubierta metálica de 180 mm; ventanas Aluminio RPT termopanel; revestimiento exterior Siding fibrocemento; interior Yeso cartón; fundación sugerida Pilotes.</x:t>
        </x:is>
      </x:c>
    </x:row>
    <x:row r="59" ht="32" customHeight="1">
      <x:c r="A59" s="9" t="inlineStr">
        <x:is>
          <x:t xml:space="preserve">MOD-0058</x:t>
        </x:is>
      </x:c>
      <x:c r="B59" s="9" t="inlineStr">
        <x:is>
          <x:t xml:space="preserve">EMP-012</x:t>
        </x:is>
      </x:c>
      <x:c r="C59" s="9" t="inlineStr">
        <x:is>
          <x:t xml:space="preserve">Ñuñoa 112</x:t>
        </x:is>
      </x:c>
      <x:c r="D59" s="9" t="inlineStr">
        <x:is>
          <x:t xml:space="preserve">Ñuñoa</x:t>
        </x:is>
      </x:c>
      <x:c r="E59" s="9" t="inlineStr">
        <x:is>
          <x:t xml:space="preserve">Río</x:t>
        </x:is>
      </x:c>
      <x:c r="F59" s="9" t="inlineStr">
        <x:is>
          <x:t xml:space="preserve">Sí</x:t>
        </x:is>
      </x:c>
      <x:c r="G59" s="9" t="inlineStr">
        <x:is>
          <x:t xml:space="preserve">SIP</x:t>
        </x:is>
      </x:c>
      <x:c r="H59" s="15" t="n">
        <x:v>112</x:v>
      </x:c>
      <x:c r="I59" s="9" t="n">
        <x:v>3</x:v>
      </x:c>
      <x:c r="J59" s="9" t="n">
        <x:v>2</x:v>
      </x:c>
      <x:c r="K59" s="9" t="n">
        <x:v>1</x:v>
      </x:c>
      <x:c r="L59" s="9" t="n">
        <x:v>3</x:v>
      </x:c>
      <x:c r="M59" s="12" t="n">
        <x:v>2.5</x:v>
      </x:c>
      <x:c r="N59" s="9" t="inlineStr">
        <x:is>
          <x:t xml:space="preserve">Panel SIP estructural con uniones en pino seco</x:t>
        </x:is>
      </x:c>
      <x:c r="O59" s="10" t="inlineStr">
        <x:is>
          <x:t xml:space="preserve">2 placas OSB estructural + núcleo EPS alta densidad</x:t>
        </x:is>
      </x:c>
      <x:c r="P59" s="15" t="n">
        <x:v>114</x:v>
      </x:c>
      <x:c r="Q59" s="9" t="inlineStr">
        <x:is>
          <x:t xml:space="preserve">EPS alta densidad 15 kg/m³</x:t>
        </x:is>
      </x:c>
      <x:c r="R59" s="15" t="n">
        <x:v>105</x:v>
      </x:c>
      <x:c r="S59" s="10" t="inlineStr">
        <x:is>
          <x:t xml:space="preserve">Panel SIP de cubierta + membrana hidrófuga + hojalatería</x:t>
        </x:is>
      </x:c>
      <x:c r="T59" s="15" t="n">
        <x:v>130</x:v>
      </x:c>
      <x:c r="U59" s="10" t="inlineStr">
        <x:is>
          <x:t xml:space="preserve">EPS integrado + sellos PU</x:t>
        </x:is>
      </x:c>
      <x:c r="V59" s="9" t="inlineStr">
        <x:is>
          <x:t xml:space="preserve">Base entramado madera o radier con barrera de humedad</x:t>
        </x:is>
      </x:c>
      <x:c r="W59" s="10" t="inlineStr">
        <x:is>
          <x:t xml:space="preserve">Aislación bajo piso PET o lana mineral 50-100 mm</x:t>
        </x:is>
      </x:c>
      <x:c r="X59" s="9" t="inlineStr">
        <x:is>
          <x:t xml:space="preserve">PVC DVH</x:t>
        </x:is>
      </x:c>
      <x:c r="Y59" s="9" t="inlineStr">
        <x:is>
          <x:t xml:space="preserve">Madera tratada</x:t>
        </x:is>
      </x:c>
      <x:c r="Z59" s="9" t="inlineStr">
        <x:is>
          <x:t xml:space="preserve">Yeso cartón pintado</x:t>
        </x:is>
      </x:c>
      <x:c r="AA59" s="9" t="inlineStr">
        <x:is>
          <x:t xml:space="preserve">Pilotes metálicos</x:t>
        </x:is>
      </x:c>
      <x:c r="AB59" s="15" t="n">
        <x:v>3</x:v>
      </x:c>
      <x:c r="AC59" s="15" t="n">
        <x:v>10</x:v>
      </x:c>
      <x:c r="AD59" s="9" t="inlineStr">
        <x:is>
          <x:t xml:space="preserve">Primera vivienda</x:t>
        </x:is>
      </x:c>
      <x:c r="AE59" s="9" t="inlineStr">
        <x:is>
          <x:t xml:space="preserve">Centro templado</x:t>
        </x:is>
      </x:c>
      <x:c r="AF59" s="10" t="inlineStr">
        <x:is>
          <x:t xml:space="preserve">NCh3393:2016 (referencial para paneles SIP)</x:t>
        </x:is>
      </x:c>
      <x:c r="AG5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9" s="10" t="inlineStr">
        <x:is>
          <x:t xml:space="preserve">Estructura: Panel SIP estructural OSB/EPS/OSB; muros 2 placas OSB estructural + núcleo EPS alta densidad de 114 mm con aislación EPS alta densidad 15 kg/m³ (105 mm); cubierta Panel SIP de cubierta + membrana hidrófuga + hojalatería de 130 mm; ventanas PVC DVH; revestimiento exterior Smart Panel; interior MDF en zonas secas; fundación sugerida Fundación corrida.</x:t>
        </x:is>
      </x:c>
    </x:row>
    <x:row r="60" ht="32" customHeight="1">
      <x:c r="A60" s="9" t="inlineStr">
        <x:is>
          <x:t xml:space="preserve">MOD-0059</x:t>
        </x:is>
      </x:c>
      <x:c r="B60" s="9" t="inlineStr">
        <x:is>
          <x:t xml:space="preserve">EMP-012</x:t>
        </x:is>
      </x:c>
      <x:c r="C60" s="9" t="inlineStr">
        <x:is>
          <x:t xml:space="preserve">Colina 108</x:t>
        </x:is>
      </x:c>
      <x:c r="D60" s="9" t="inlineStr">
        <x:is>
          <x:t xml:space="preserve">Colina</x:t>
        </x:is>
      </x:c>
      <x:c r="E60" s="9" t="inlineStr">
        <x:is>
          <x:t xml:space="preserve">Archipiélago</x:t>
        </x:is>
      </x:c>
      <x:c r="F60" s="9" t="inlineStr">
        <x:is>
          <x:t xml:space="preserve">Sí</x:t>
        </x:is>
      </x:c>
      <x:c r="G60" s="9" t="inlineStr">
        <x:is>
          <x:t xml:space="preserve">CONTAINER</x:t>
        </x:is>
      </x:c>
      <x:c r="H60" s="15" t="n">
        <x:v>108</x:v>
      </x:c>
      <x:c r="I60" s="9" t="n">
        <x:v>3</x:v>
      </x:c>
      <x:c r="J60" s="9" t="n">
        <x:v>2</x:v>
      </x:c>
      <x:c r="K60" s="9" t="n">
        <x:v>1</x:v>
      </x:c>
      <x:c r="L60" s="9" t="n">
        <x:v>3</x:v>
      </x:c>
      <x:c r="M60" s="12" t="n">
        <x:v>2.45</x:v>
      </x:c>
      <x:c r="N60" s="9" t="inlineStr">
        <x:is>
          <x:t xml:space="preserve">Módulo habitacional de acero galvanizado / corten</x:t>
        </x:is>
      </x:c>
      <x:c r="O60" s="10" t="inlineStr">
        <x:is>
          <x:t xml:space="preserve">Estructura container + subestructura interior + revestimiento</x:t>
        </x:is>
      </x:c>
      <x:c r="P60" s="15" t="n">
        <x:v>110</x:v>
      </x:c>
      <x:c r="Q60" s="9" t="inlineStr">
        <x:is>
          <x:t xml:space="preserve">Poliuretano proyectado o EPS/Aislapol 40-60 mm</x:t>
        </x:is>
      </x:c>
      <x:c r="R60" s="15" t="n">
        <x:v>60</x:v>
      </x:c>
      <x:c r="S60" s="10" t="inlineStr">
        <x:is>
          <x:t xml:space="preserve">Cubierta metálica container + sobretecho ventilado opcional</x:t>
        </x:is>
      </x:c>
      <x:c r="T60" s="15" t="n">
        <x:v>100</x:v>
      </x:c>
      <x:c r="U60" s="10" t="inlineStr">
        <x:is>
          <x:t xml:space="preserve">Poliuretano / EPS + barrera anticondensación</x:t>
        </x:is>
      </x:c>
      <x:c r="V60" s="9" t="inlineStr">
        <x:is>
          <x:t xml:space="preserve">Piso terciado 18 mm o base original acondicionada + vinílico</x:t>
        </x:is>
      </x:c>
      <x:c r="W60" s="10" t="inlineStr">
        <x:is>
          <x:t xml:space="preserve">Aislación bajo piso 40-80 mm</x:t>
        </x:is>
      </x:c>
      <x:c r="X60" s="9" t="inlineStr">
        <x:is>
          <x:t xml:space="preserve">PVC termopanel</x:t>
        </x:is>
      </x:c>
      <x:c r="Y60" s="9" t="inlineStr">
        <x:is>
          <x:t xml:space="preserve">Acero galvanizado pintado</x:t>
        </x:is>
      </x:c>
      <x:c r="Z60" s="9" t="inlineStr">
        <x:is>
          <x:t xml:space="preserve">Madera pintada</x:t>
        </x:is>
      </x:c>
      <x:c r="AA60" s="9" t="inlineStr">
        <x:is>
          <x:t xml:space="preserve">Radier</x:t>
        </x:is>
      </x:c>
      <x:c r="AB60" s="15" t="n">
        <x:v>4</x:v>
      </x:c>
      <x:c r="AC60" s="15" t="n">
        <x:v>3</x:v>
      </x:c>
      <x:c r="AD60" s="9" t="inlineStr">
        <x:is>
          <x:t xml:space="preserve">Segunda vivienda</x:t>
        </x:is>
      </x:c>
      <x:c r="AE60" s="9" t="inlineStr">
        <x:is>
          <x:t xml:space="preserve">Centro templado</x:t>
        </x:is>
      </x:c>
      <x:c r="AF60" s="10" t="inlineStr">
        <x:is>
          <x:t xml:space="preserve">Criterios de aislación, ventilación y tratamiento anticorrosivo (referencial)</x:t>
        </x:is>
      </x:c>
      <x:c r="AG60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60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(60 mm); cubierta Cubierta metálica container + sobretecho ventilado opcional de 100 mm; ventanas Aluminio termopanel; revestimiento exterior Acero galvanizado pintado; interior Melamina; fundación sugerida Dados de hormigón.</x:t>
        </x:is>
      </x:c>
    </x:row>
    <x:row r="61" ht="32" customHeight="1">
      <x:c r="A61" s="9" t="inlineStr">
        <x:is>
          <x:t xml:space="preserve">MOD-0060</x:t>
        </x:is>
      </x:c>
      <x:c r="B61" s="9" t="inlineStr">
        <x:is>
          <x:t xml:space="preserve">EMP-012</x:t>
        </x:is>
      </x:c>
      <x:c r="C61" s="9" t="inlineStr">
        <x:is>
          <x:t xml:space="preserve">Pucón 192</x:t>
        </x:is>
      </x:c>
      <x:c r="D61" s="9" t="inlineStr">
        <x:is>
          <x:t xml:space="preserve">Pucón</x:t>
        </x:is>
      </x:c>
      <x:c r="E61" s="9" t="inlineStr">
        <x:is>
          <x:t xml:space="preserve">Comuna</x:t>
        </x:is>
      </x:c>
      <x:c r="F61" s="9" t="inlineStr">
        <x:is>
          <x:t xml:space="preserve">Sí</x:t>
        </x:is>
      </x:c>
      <x:c r="G61" s="9" t="inlineStr">
        <x:is>
          <x:t xml:space="preserve">HYBRID_MODULAR</x:t>
        </x:is>
      </x:c>
      <x:c r="H61" s="15" t="n">
        <x:v>192</x:v>
      </x:c>
      <x:c r="I61" s="9" t="n">
        <x:v>4</x:v>
      </x:c>
      <x:c r="J61" s="9" t="n">
        <x:v>3</x:v>
      </x:c>
      <x:c r="K61" s="9" t="n">
        <x:v>2</x:v>
      </x:c>
      <x:c r="L61" s="9" t="n">
        <x:v>4</x:v>
      </x:c>
      <x:c r="M61" s="12" t="n">
        <x:v>2.45</x:v>
      </x:c>
      <x:c r="N61" s="9" t="inlineStr">
        <x:is>
          <x:t xml:space="preserve">Estructura híbrida acero-madera panelizada</x:t>
        </x:is>
      </x:c>
      <x:c r="O61" s="10" t="inlineStr">
        <x:is>
          <x:t xml:space="preserve">Acero galvanizado o madera laminada + panel SIP MgO/OSB</x:t>
        </x:is>
      </x:c>
      <x:c r="P61" s="15" t="n">
        <x:v>120</x:v>
      </x:c>
      <x:c r="Q61" s="9" t="inlineStr">
        <x:is>
          <x:t xml:space="preserve">Lana mineral 75-100 mm o EPS integrado</x:t>
        </x:is>
      </x:c>
      <x:c r="R61" s="15" t="n">
        <x:v>90</x:v>
      </x:c>
      <x:c r="S61" s="10" t="inlineStr">
        <x:is>
          <x:t xml:space="preserve">Módulo volumétrico con cubierta panelizada</x:t>
        </x:is>
      </x:c>
      <x:c r="T61" s="15" t="n">
        <x:v>180</x:v>
      </x:c>
      <x:c r="U61" s="10" t="inlineStr">
        <x:is>
          <x:t xml:space="preserve">Lana mineral / EPS / barrera vapor</x:t>
        </x:is>
      </x:c>
      <x:c r="V61" s="9" t="inlineStr">
        <x:is>
          <x:t xml:space="preserve">Bastidor metálico o madera laminada</x:t>
        </x:is>
      </x:c>
      <x:c r="W61" s="10" t="inlineStr">
        <x:is>
          <x:t xml:space="preserve">Lana mineral 80-100 mm + fibrocemento</x:t>
        </x:is>
      </x:c>
      <x:c r="X61" s="9" t="inlineStr">
        <x:is>
          <x:t xml:space="preserve">PVC termopanel</x:t>
        </x:is>
      </x:c>
      <x:c r="Y61" s="9" t="inlineStr">
        <x:is>
          <x:t xml:space="preserve">Madera tratada</x:t>
        </x:is>
      </x:c>
      <x:c r="Z61" s="9" t="inlineStr">
        <x:is>
          <x:t xml:space="preserve">Melamina blanca</x:t>
        </x:is>
      </x:c>
      <x:c r="AA61" s="9" t="inlineStr">
        <x:is>
          <x:t xml:space="preserve">Dados de hormigón</x:t>
        </x:is>
      </x:c>
      <x:c r="AB61" s="15" t="n">
        <x:v>10</x:v>
      </x:c>
      <x:c r="AC61" s="15" t="n">
        <x:v>10</x:v>
      </x:c>
      <x:c r="AD61" s="9" t="inlineStr">
        <x:is>
          <x:t xml:space="preserve">Primera vivienda</x:t>
        </x:is>
      </x:c>
      <x:c r="AE61" s="9" t="inlineStr">
        <x:is>
          <x:t xml:space="preserve">Centro templado</x:t>
        </x:is>
      </x:c>
      <x:c r="AF61" s="10" t="inlineStr">
        <x:is>
          <x:t xml:space="preserve">Criterios de prefabricación modular y coordinación BIM (referencial)</x:t>
        </x:is>
      </x:c>
      <x:c r="AG61" s="10" t="inlineStr">
        <x:is>
          <x:t xml:space="preserve">https://modul.cl/construccion-de-casas-prefabricadas-modulares/ | https://tecnofasthome.cl/casas-modulares/</x:t>
        </x:is>
      </x:c>
      <x:c r="AH61" s="10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180 mm; ventanas Aluminio termopanel; revestimiento exterior Plancha metálica; interior Yeso cartón RH; fundación sugerida Dados de hormigón.</x:t>
        </x:is>
      </x:c>
    </x:row>
    <x:row r="62" ht="32" customHeight="1">
      <x:c r="A62" s="9" t="inlineStr">
        <x:is>
          <x:t xml:space="preserve">MOD-0061</x:t>
        </x:is>
      </x:c>
      <x:c r="B62" s="9" t="inlineStr">
        <x:is>
          <x:t xml:space="preserve">EMP-013</x:t>
        </x:is>
      </x:c>
      <x:c r="C62" s="9" t="inlineStr">
        <x:is>
          <x:t xml:space="preserve">Villarrica 54</x:t>
        </x:is>
      </x:c>
      <x:c r="D62" s="9" t="inlineStr">
        <x:is>
          <x:t xml:space="preserve">Villarrica</x:t>
        </x:is>
      </x:c>
      <x:c r="E62" s="9" t="inlineStr">
        <x:is>
          <x:t xml:space="preserve">Comuna</x:t>
        </x:is>
      </x:c>
      <x:c r="F62" s="9" t="inlineStr">
        <x:is>
          <x:t xml:space="preserve">Sí</x:t>
        </x:is>
      </x:c>
      <x:c r="G62" s="9" t="inlineStr">
        <x:is>
          <x:t xml:space="preserve">MODULAR_TIMBER</x:t>
        </x:is>
      </x:c>
      <x:c r="H62" s="15" t="n">
        <x:v>54</x:v>
      </x:c>
      <x:c r="I62" s="9" t="n">
        <x:v>2</x:v>
      </x:c>
      <x:c r="J62" s="9" t="n">
        <x:v>1</x:v>
      </x:c>
      <x:c r="K62" s="9" t="n">
        <x:v>1</x:v>
      </x:c>
      <x:c r="L62" s="9" t="n">
        <x:v>2</x:v>
      </x:c>
      <x:c r="M62" s="12" t="n">
        <x:v>2.4</x:v>
      </x:c>
      <x:c r="N62" s="9" t="inlineStr">
        <x:is>
          <x:t xml:space="preserve">Madera laminada y entramado ligero</x:t>
        </x:is>
      </x:c>
      <x:c r="O62" s="10" t="inlineStr">
        <x:is>
          <x:t xml:space="preserve">Madera estructural + OSB / terciado + barrera hidrófuga</x:t>
        </x:is>
      </x:c>
      <x:c r="P62" s="15" t="n">
        <x:v>120</x:v>
      </x:c>
      <x:c r="Q62" s="9" t="inlineStr">
        <x:is>
          <x:t xml:space="preserve">Lana mineral / lana de vidrio / PET reciclado</x:t>
        </x:is>
      </x:c>
      <x:c r="R62" s="15" t="n">
        <x:v>60</x:v>
      </x:c>
      <x:c r="S62" s="10" t="inlineStr">
        <x:is>
          <x:t xml:space="preserve">Cercha de madera + cubierta metálica o tejuela asfáltica</x:t>
        </x:is>
      </x:c>
      <x:c r="T62" s="15" t="n">
        <x:v>180</x:v>
      </x:c>
      <x:c r="U62" s="10" t="inlineStr">
        <x:is>
          <x:t xml:space="preserve">Lana mineral 80-140 mm + membrana</x:t>
        </x:is>
      </x:c>
      <x:c r="V62" s="9" t="inlineStr">
        <x:is>
          <x:t xml:space="preserve">Plataforma de madera estructural o radier</x:t>
        </x:is>
      </x:c>
      <x:c r="W62" s="10" t="inlineStr">
        <x:is>
          <x:t xml:space="preserve">Lana mineral 50-100 mm / barrera humedad</x:t>
        </x:is>
      </x:c>
      <x:c r="X62" s="9" t="inlineStr">
        <x:is>
          <x:t xml:space="preserve">Aluminio termopanel</x:t>
        </x:is>
      </x:c>
      <x:c r="Y62" s="9" t="inlineStr">
        <x:is>
          <x:t xml:space="preserve">Smart Panel</x:t>
        </x:is>
      </x:c>
      <x:c r="Z62" s="9" t="inlineStr">
        <x:is>
          <x:t xml:space="preserve">Terciado pintado</x:t>
        </x:is>
      </x:c>
      <x:c r="AA62" s="9" t="inlineStr">
        <x:is>
          <x:t xml:space="preserve">Pilotes</x:t>
        </x:is>
      </x:c>
      <x:c r="AB62" s="15" t="n">
        <x:v>7</x:v>
      </x:c>
      <x:c r="AC62" s="15" t="n">
        <x:v>11</x:v>
      </x:c>
      <x:c r="AD62" s="9" t="inlineStr">
        <x:is>
          <x:t xml:space="preserve">Primera vivienda</x:t>
        </x:is>
      </x:c>
      <x:c r="AE62" s="9" t="inlineStr">
        <x:is>
          <x:t xml:space="preserve">Centro templado</x:t>
        </x:is>
      </x:c>
      <x:c r="AF62" s="10" t="inlineStr">
        <x:is>
          <x:t xml:space="preserve">Especificaciones técnicas de vivienda industrializada en madera (referencial)</x:t>
        </x:is>
      </x:c>
      <x:c r="AG62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62" s="10" t="inlineStr">
        <x:is>
          <x:t xml:space="preserve">Estructura: Madera laminada y entramado ligero; muros Madera estructural + OSB / terciado + barrera hidrófuga de 120 mm con aislación Lana mineral / lana de vidrio / PET reciclado (60 mm); cubierta Cercha de madera + cubierta metálica o tejuela asfáltica de 180 mm; ventanas PVC termopanel; revestimiento exterior Madera tratada; interior Yeso cartón; fundación sugerida Radier.</x:t>
        </x:is>
      </x:c>
    </x:row>
    <x:row r="63" ht="32" customHeight="1">
      <x:c r="A63" s="9" t="inlineStr">
        <x:is>
          <x:t xml:space="preserve">MOD-0062</x:t>
        </x:is>
      </x:c>
      <x:c r="B63" s="9" t="inlineStr">
        <x:is>
          <x:t xml:space="preserve">EMP-013</x:t>
        </x:is>
      </x:c>
      <x:c r="C63" s="9" t="inlineStr">
        <x:is>
          <x:t xml:space="preserve">Futrono 104</x:t>
        </x:is>
      </x:c>
      <x:c r="D63" s="9" t="inlineStr">
        <x:is>
          <x:t xml:space="preserve">Futrono</x:t>
        </x:is>
      </x:c>
      <x:c r="E63" s="9" t="inlineStr">
        <x:is>
          <x:t xml:space="preserve">Comuna</x:t>
        </x:is>
      </x:c>
      <x:c r="F63" s="9" t="inlineStr">
        <x:is>
          <x:t xml:space="preserve">Sí</x:t>
        </x:is>
      </x:c>
      <x:c r="G63" s="9" t="inlineStr">
        <x:is>
          <x:t xml:space="preserve">MODULAR_TIMBER</x:t>
        </x:is>
      </x:c>
      <x:c r="H63" s="15" t="n">
        <x:v>104</x:v>
      </x:c>
      <x:c r="I63" s="9" t="n">
        <x:v>3</x:v>
      </x:c>
      <x:c r="J63" s="9" t="n">
        <x:v>2</x:v>
      </x:c>
      <x:c r="K63" s="9" t="n">
        <x:v>1</x:v>
      </x:c>
      <x:c r="L63" s="9" t="n">
        <x:v>3</x:v>
      </x:c>
      <x:c r="M63" s="12" t="n">
        <x:v>2.5</x:v>
      </x:c>
      <x:c r="N63" s="9" t="inlineStr">
        <x:is>
          <x:t xml:space="preserve">Madera laminada y entramado ligero</x:t>
        </x:is>
      </x:c>
      <x:c r="O63" s="10" t="inlineStr">
        <x:is>
          <x:t xml:space="preserve">Madera estructural + OSB / terciado + barrera hidrófuga</x:t>
        </x:is>
      </x:c>
      <x:c r="P63" s="15" t="n">
        <x:v>89</x:v>
      </x:c>
      <x:c r="Q63" s="9" t="inlineStr">
        <x:is>
          <x:t xml:space="preserve">Lana mineral / lana de vidrio / PET reciclado</x:t>
        </x:is>
      </x:c>
      <x:c r="R63" s="15" t="n">
        <x:v>80</x:v>
      </x:c>
      <x:c r="S63" s="10" t="inlineStr">
        <x:is>
          <x:t xml:space="preserve">Cercha de madera + cubierta metálica o tejuela asfáltica</x:t>
        </x:is>
      </x:c>
      <x:c r="T63" s="15" t="n">
        <x:v>120</x:v>
      </x:c>
      <x:c r="U63" s="10" t="inlineStr">
        <x:is>
          <x:t xml:space="preserve">Lana mineral 80-140 mm + membrana</x:t>
        </x:is>
      </x:c>
      <x:c r="V63" s="9" t="inlineStr">
        <x:is>
          <x:t xml:space="preserve">Plataforma de madera estructural o radier</x:t>
        </x:is>
      </x:c>
      <x:c r="W63" s="10" t="inlineStr">
        <x:is>
          <x:t xml:space="preserve">Lana mineral 50-100 mm / barrera humedad</x:t>
        </x:is>
      </x:c>
      <x:c r="X63" s="9" t="inlineStr">
        <x:is>
          <x:t xml:space="preserve">PVC termopanel</x:t>
        </x:is>
      </x:c>
      <x:c r="Y63" s="9" t="inlineStr">
        <x:is>
          <x:t xml:space="preserve">Madera tratada</x:t>
        </x:is>
      </x:c>
      <x:c r="Z63" s="9" t="inlineStr">
        <x:is>
          <x:t xml:space="preserve">Yeso cartón</x:t>
        </x:is>
      </x:c>
      <x:c r="AA63" s="9" t="inlineStr">
        <x:is>
          <x:t xml:space="preserve">Radier</x:t>
        </x:is>
      </x:c>
      <x:c r="AB63" s="15" t="n">
        <x:v>7</x:v>
      </x:c>
      <x:c r="AC63" s="15" t="n">
        <x:v>12</x:v>
      </x:c>
      <x:c r="AD63" s="9" t="inlineStr">
        <x:is>
          <x:t xml:space="preserve">Segunda vivienda</x:t>
        </x:is>
      </x:c>
      <x:c r="AE63" s="9" t="inlineStr">
        <x:is>
          <x:t xml:space="preserve">Centro templado</x:t>
        </x:is>
      </x:c>
      <x:c r="AF63" s="10" t="inlineStr">
        <x:is>
          <x:t xml:space="preserve">Especificaciones técnicas de vivienda industrializada en madera (referencial)</x:t>
        </x:is>
      </x:c>
      <x:c r="AG63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63" s="10" t="inlineStr">
        <x:is>
          <x:t xml:space="preserve">Estructura: Wood frame modular; muros Madera estructural + OSB / terciado + barrera hidrófuga de 89 mm con aislación Lana mineral / lana de vidrio / PET reciclado (80 mm); cubierta Cercha de madera + cubierta metálica o tejuela asfáltica de 120 mm; ventanas PVC termopanel; revestimiento exterior Siding fibrocemento; interior Terciado pintado; fundación sugerida Pilotes.</x:t>
        </x:is>
      </x:c>
    </x:row>
    <x:row r="64" ht="32" customHeight="1">
      <x:c r="A64" s="9" t="inlineStr">
        <x:is>
          <x:t xml:space="preserve">MOD-0063</x:t>
        </x:is>
      </x:c>
      <x:c r="B64" s="9" t="inlineStr">
        <x:is>
          <x:t xml:space="preserve">EMP-013</x:t>
        </x:is>
      </x:c>
      <x:c r="C64" s="9" t="inlineStr">
        <x:is>
          <x:t xml:space="preserve">Ancud 104</x:t>
        </x:is>
      </x:c>
      <x:c r="D64" s="9" t="inlineStr">
        <x:is>
          <x:t xml:space="preserve">Ancud</x:t>
        </x:is>
      </x:c>
      <x:c r="E64" s="9" t="inlineStr">
        <x:is>
          <x:t xml:space="preserve">Volcán</x:t>
        </x:is>
      </x:c>
      <x:c r="F64" s="9" t="inlineStr">
        <x:is>
          <x:t xml:space="preserve">Sí</x:t>
        </x:is>
      </x:c>
      <x:c r="G64" s="9" t="inlineStr">
        <x:is>
          <x:t xml:space="preserve">SIP</x:t>
        </x:is>
      </x:c>
      <x:c r="H64" s="15" t="n">
        <x:v>104</x:v>
      </x:c>
      <x:c r="I64" s="9" t="n">
        <x:v>3</x:v>
      </x:c>
      <x:c r="J64" s="9" t="n">
        <x:v>2</x:v>
      </x:c>
      <x:c r="K64" s="9" t="n">
        <x:v>1</x:v>
      </x:c>
      <x:c r="L64" s="9" t="n">
        <x:v>3</x:v>
      </x:c>
      <x:c r="M64" s="12" t="n">
        <x:v>2.5</x:v>
      </x:c>
      <x:c r="N64" s="9" t="inlineStr">
        <x:is>
          <x:t xml:space="preserve">Panel SIP estructural OSB/EPS/OSB</x:t>
        </x:is>
      </x:c>
      <x:c r="O64" s="10" t="inlineStr">
        <x:is>
          <x:t xml:space="preserve">2 placas OSB estructural + núcleo EPS alta densidad</x:t>
        </x:is>
      </x:c>
      <x:c r="P64" s="15" t="n">
        <x:v>114</x:v>
      </x:c>
      <x:c r="Q64" s="9" t="inlineStr">
        <x:is>
          <x:t xml:space="preserve">EPS alta densidad 15 kg/m³</x:t>
        </x:is>
      </x:c>
      <x:c r="R64" s="15" t="n">
        <x:v>105</x:v>
      </x:c>
      <x:c r="S64" s="10" t="inlineStr">
        <x:is>
          <x:t xml:space="preserve">Panel SIP de cubierta + membrana hidrófuga + hojalatería</x:t>
        </x:is>
      </x:c>
      <x:c r="T64" s="15" t="n">
        <x:v>164</x:v>
      </x:c>
      <x:c r="U64" s="10" t="inlineStr">
        <x:is>
          <x:t xml:space="preserve">EPS integrado + sellos PU</x:t>
        </x:is>
      </x:c>
      <x:c r="V64" s="9" t="inlineStr">
        <x:is>
          <x:t xml:space="preserve">Base entramado madera o radier con barrera de humedad</x:t>
        </x:is>
      </x:c>
      <x:c r="W64" s="10" t="inlineStr">
        <x:is>
          <x:t xml:space="preserve">Aislación bajo piso PET o lana mineral 50-100 mm</x:t>
        </x:is>
      </x:c>
      <x:c r="X64" s="9" t="inlineStr">
        <x:is>
          <x:t xml:space="preserve">PVC termopanel</x:t>
        </x:is>
      </x:c>
      <x:c r="Y64" s="9" t="inlineStr">
        <x:is>
          <x:t xml:space="preserve">Madera tratada</x:t>
        </x:is>
      </x:c>
      <x:c r="Z64" s="9" t="inlineStr">
        <x:is>
          <x:t xml:space="preserve">MDF en zonas secas</x:t>
        </x:is>
      </x:c>
      <x:c r="AA64" s="9" t="inlineStr">
        <x:is>
          <x:t xml:space="preserve">Pilotes metálicos</x:t>
        </x:is>
      </x:c>
      <x:c r="AB64" s="15" t="n">
        <x:v>6</x:v>
      </x:c>
      <x:c r="AC64" s="15" t="n">
        <x:v>9</x:v>
      </x:c>
      <x:c r="AD64" s="9" t="inlineStr">
        <x:is>
          <x:t xml:space="preserve">Parcela</x:t>
        </x:is>
      </x:c>
      <x:c r="AE64" s="9" t="inlineStr">
        <x:is>
          <x:t xml:space="preserve">Centro templado</x:t>
        </x:is>
      </x:c>
      <x:c r="AF64" s="10" t="inlineStr">
        <x:is>
          <x:t xml:space="preserve">NCh3393:2016 (referencial para paneles SIP)</x:t>
        </x:is>
      </x:c>
      <x:c r="AG6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64" s="10" t="inlineStr">
        <x:is>
          <x:t xml:space="preserve">Estructura: Panel SIP estructural OSB/EPS/OSB; muros 2 placas OSB estructural + núcleo EPS alta densidad de 114 mm con aislación EPS alta densidad 15 kg/m³ (105 mm); cubierta Panel SIP de cubierta + membrana hidrófuga + hojalatería de 164 mm; ventanas Aluminio con termopanel; revestimiento exterior Madera tratada; interior MDF en zonas secas; fundación sugerida Fundación corrida.</x:t>
        </x:is>
      </x:c>
    </x:row>
    <x:row r="65" ht="32" customHeight="1">
      <x:c r="A65" s="9" t="inlineStr">
        <x:is>
          <x:t xml:space="preserve">MOD-0064</x:t>
        </x:is>
      </x:c>
      <x:c r="B65" s="9" t="inlineStr">
        <x:is>
          <x:t xml:space="preserve">EMP-013</x:t>
        </x:is>
      </x:c>
      <x:c r="C65" s="9" t="inlineStr">
        <x:is>
          <x:t xml:space="preserve">Castro 144</x:t>
        </x:is>
      </x:c>
      <x:c r="D65" s="9" t="inlineStr">
        <x:is>
          <x:t xml:space="preserve">Castro</x:t>
        </x:is>
      </x:c>
      <x:c r="E65" s="9" t="inlineStr">
        <x:is>
          <x:t xml:space="preserve">Volcán</x:t>
        </x:is>
      </x:c>
      <x:c r="F65" s="9" t="inlineStr">
        <x:is>
          <x:t xml:space="preserve">Sí</x:t>
        </x:is>
      </x:c>
      <x:c r="G65" s="9" t="inlineStr">
        <x:is>
          <x:t xml:space="preserve">HYBRID_MODULAR</x:t>
        </x:is>
      </x:c>
      <x:c r="H65" s="15" t="n">
        <x:v>144</x:v>
      </x:c>
      <x:c r="I65" s="9" t="n">
        <x:v>4</x:v>
      </x:c>
      <x:c r="J65" s="9" t="n">
        <x:v>3</x:v>
      </x:c>
      <x:c r="K65" s="9" t="n">
        <x:v>1</x:v>
      </x:c>
      <x:c r="L65" s="9" t="n">
        <x:v>4</x:v>
      </x:c>
      <x:c r="M65" s="12" t="n">
        <x:v>2.5</x:v>
      </x:c>
      <x:c r="N65" s="9" t="inlineStr">
        <x:is>
          <x:t xml:space="preserve">Estructura híbrida acero-madera panelizada</x:t>
        </x:is>
      </x:c>
      <x:c r="O65" s="10" t="inlineStr">
        <x:is>
          <x:t xml:space="preserve">Acero galvanizado o madera laminada + panel SIP MgO/OSB</x:t>
        </x:is>
      </x:c>
      <x:c r="P65" s="15" t="n">
        <x:v>160</x:v>
      </x:c>
      <x:c r="Q65" s="9" t="inlineStr">
        <x:is>
          <x:t xml:space="preserve">Lana mineral 75-100 mm o EPS integrado</x:t>
        </x:is>
      </x:c>
      <x:c r="R65" s="15" t="n">
        <x:v>90</x:v>
      </x:c>
      <x:c r="S65" s="10" t="inlineStr">
        <x:is>
          <x:t xml:space="preserve">Módulo volumétrico con cubierta panelizada</x:t>
        </x:is>
      </x:c>
      <x:c r="T65" s="15" t="n">
        <x:v>160</x:v>
      </x:c>
      <x:c r="U65" s="10" t="inlineStr">
        <x:is>
          <x:t xml:space="preserve">Lana mineral / EPS / barrera vapor</x:t>
        </x:is>
      </x:c>
      <x:c r="V65" s="9" t="inlineStr">
        <x:is>
          <x:t xml:space="preserve">Bastidor metálico o madera laminada</x:t>
        </x:is>
      </x:c>
      <x:c r="W65" s="10" t="inlineStr">
        <x:is>
          <x:t xml:space="preserve">Lana mineral 80-100 mm + fibrocemento</x:t>
        </x:is>
      </x:c>
      <x:c r="X65" s="9" t="inlineStr">
        <x:is>
          <x:t xml:space="preserve">Aluminio termopanel</x:t>
        </x:is>
      </x:c>
      <x:c r="Y65" s="9" t="inlineStr">
        <x:is>
          <x:t xml:space="preserve">Fibrocemento tipo siding</x:t>
        </x:is>
      </x:c>
      <x:c r="Z65" s="9" t="inlineStr">
        <x:is>
          <x:t xml:space="preserve">Melamina blanca</x:t>
        </x:is>
      </x:c>
      <x:c r="AA65" s="9" t="inlineStr">
        <x:is>
          <x:t xml:space="preserve">Pilotes ajustables</x:t>
        </x:is>
      </x:c>
      <x:c r="AB65" s="15" t="n">
        <x:v>7</x:v>
      </x:c>
      <x:c r="AC65" s="15" t="n">
        <x:v>8</x:v>
      </x:c>
      <x:c r="AD65" s="9" t="inlineStr">
        <x:is>
          <x:t xml:space="preserve">Parcela</x:t>
        </x:is>
      </x:c>
      <x:c r="AE65" s="9" t="inlineStr">
        <x:is>
          <x:t xml:space="preserve">Centro templado</x:t>
        </x:is>
      </x:c>
      <x:c r="AF65" s="10" t="inlineStr">
        <x:is>
          <x:t xml:space="preserve">Criterios de prefabricación modular y coordinación BIM (referencial)</x:t>
        </x:is>
      </x:c>
      <x:c r="AG65" s="10" t="inlineStr">
        <x:is>
          <x:t xml:space="preserve">https://modul.cl/construccion-de-casas-prefabricadas-modulares/ | https://tecnofasthome.cl/casas-modulares/</x:t>
        </x:is>
      </x:c>
      <x:c r="AH65" s="10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160 mm; ventanas Aluminio termopanel; revestimiento exterior Fibrocemento tipo siding; interior Yeso cartón RH; fundación sugerida Dados de hormigón.</x:t>
        </x:is>
      </x:c>
    </x:row>
    <x:row r="66" ht="32" customHeight="1">
      <x:c r="A66" s="9" t="inlineStr">
        <x:is>
          <x:t xml:space="preserve">MOD-0065</x:t>
        </x:is>
      </x:c>
      <x:c r="B66" s="9" t="inlineStr">
        <x:is>
          <x:t xml:space="preserve">EMP-013</x:t>
        </x:is>
      </x:c>
      <x:c r="C66" s="9" t="inlineStr">
        <x:is>
          <x:t xml:space="preserve">Alerce 210</x:t>
        </x:is>
      </x:c>
      <x:c r="D66" s="9" t="inlineStr">
        <x:is>
          <x:t xml:space="preserve">Alerce</x:t>
        </x:is>
      </x:c>
      <x:c r="E66" s="9" t="inlineStr">
        <x:is>
          <x:t xml:space="preserve">Archipiélago</x:t>
        </x:is>
      </x:c>
      <x:c r="F66" s="9" t="inlineStr">
        <x:is>
          <x:t xml:space="preserve">Sí</x:t>
        </x:is>
      </x:c>
      <x:c r="G66" s="9" t="inlineStr">
        <x:is>
          <x:t xml:space="preserve">STEEL_FRAME</x:t>
        </x:is>
      </x:c>
      <x:c r="H66" s="15" t="n">
        <x:v>210</x:v>
      </x:c>
      <x:c r="I66" s="9" t="n">
        <x:v>4</x:v>
      </x:c>
      <x:c r="J66" s="9" t="n">
        <x:v>3</x:v>
      </x:c>
      <x:c r="K66" s="9" t="n">
        <x:v>1</x:v>
      </x:c>
      <x:c r="L66" s="9" t="n">
        <x:v>4</x:v>
      </x:c>
      <x:c r="M66" s="12" t="n">
        <x:v>2.45</x:v>
      </x:c>
      <x:c r="N66" s="9" t="inlineStr">
        <x:is>
          <x:t xml:space="preserve">Perfilería de acero galvanizado liviano</x:t>
        </x:is>
      </x:c>
      <x:c r="O66" s="10" t="inlineStr">
        <x:is>
          <x:t xml:space="preserve">Acero galvanizado + placa OSB/fibrocemento + cámara técnica</x:t>
        </x:is>
      </x:c>
      <x:c r="P66" s="15" t="n">
        <x:v>140</x:v>
      </x:c>
      <x:c r="Q66" s="9" t="inlineStr">
        <x:is>
          <x:t xml:space="preserve">Lana mineral o lana de roca / PET / EPS según zona térmica</x:t>
        </x:is>
      </x:c>
      <x:c r="R66" s="15" t="n">
        <x:v>100</x:v>
      </x:c>
      <x:c r="S66" s="10" t="inlineStr">
        <x:is>
          <x:t xml:space="preserve">Cerchas o paneles steel frame + cubierta metálica</x:t>
        </x:is>
      </x:c>
      <x:c r="T66" s="15" t="n">
        <x:v>180</x:v>
      </x:c>
      <x:c r="U66" s="10" t="inlineStr">
        <x:is>
          <x:t xml:space="preserve">Lana mineral / lana de roca + barrera de vapor</x:t>
        </x:is>
      </x:c>
      <x:c r="V66" s="9" t="inlineStr">
        <x:is>
          <x:t xml:space="preserve">Envigado metálico o plataforma estructural</x:t>
        </x:is>
      </x:c>
      <x:c r="W66" s="10" t="inlineStr">
        <x:is>
          <x:t xml:space="preserve">Lana mineral 50-100 mm + placas estructurales</x:t>
        </x:is>
      </x:c>
      <x:c r="X66" s="9" t="inlineStr">
        <x:is>
          <x:t xml:space="preserve">PVC termopanel</x:t>
        </x:is>
      </x:c>
      <x:c r="Y66" s="9" t="inlineStr">
        <x:is>
          <x:t xml:space="preserve">Estuco sobre placa cementicia</x:t>
        </x:is>
      </x:c>
      <x:c r="Z66" s="9" t="inlineStr">
        <x:is>
          <x:t xml:space="preserve">MDF pintado</x:t>
        </x:is>
      </x:c>
      <x:c r="AA66" s="9" t="inlineStr">
        <x:is>
          <x:t xml:space="preserve">Vigas de fundación y radier</x:t>
        </x:is>
      </x:c>
      <x:c r="AB66" s="15" t="n">
        <x:v>6</x:v>
      </x:c>
      <x:c r="AC66" s="15" t="n">
        <x:v>13</x:v>
      </x:c>
      <x:c r="AD66" s="9" t="inlineStr">
        <x:is>
          <x:t xml:space="preserve">Segunda vivienda</x:t>
        </x:is>
      </x:c>
      <x:c r="AE66" s="9" t="inlineStr">
        <x:is>
          <x:t xml:space="preserve">Centro templado</x:t>
        </x:is>
      </x:c>
      <x:c r="AF66" s="10" t="inlineStr">
        <x:is>
          <x:t xml:space="preserve">Criterio térmico referencial OGUC / reglamentación térmica vigente</x:t>
        </x:is>
      </x:c>
      <x:c r="AG66" s="10" t="inlineStr">
        <x:is>
          <x:t xml:space="preserve">https://www.steelframe.cl/ | https://vhaceros.cl/blog/steel-framing-principios-estructurales-y-ventajas-en-la-construccion-chilena/</x:t>
        </x:is>
      </x:c>
      <x:c r="AH66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180 mm; ventanas PVC termopanel; revestimiento exterior Estuco sobre placa cementicia; interior Yeso cartón RF; fundación sugerida Vigas de fundación y radier.</x:t>
        </x:is>
      </x:c>
    </x:row>
    <x:row r="67" ht="32" customHeight="1">
      <x:c r="A67" s="9" t="inlineStr">
        <x:is>
          <x:t xml:space="preserve">MOD-0066</x:t>
        </x:is>
      </x:c>
      <x:c r="B67" s="9" t="inlineStr">
        <x:is>
          <x:t xml:space="preserve">EMP-014</x:t>
        </x:is>
      </x:c>
      <x:c r="C67" s="9" t="inlineStr">
        <x:is>
          <x:t xml:space="preserve">Chiloé 42</x:t>
        </x:is>
      </x:c>
      <x:c r="D67" s="9" t="inlineStr">
        <x:is>
          <x:t xml:space="preserve">Chiloé</x:t>
        </x:is>
      </x:c>
      <x:c r="E67" s="9" t="inlineStr">
        <x:is>
          <x:t xml:space="preserve">Archipiélago</x:t>
        </x:is>
      </x:c>
      <x:c r="F67" s="9" t="inlineStr">
        <x:is>
          <x:t xml:space="preserve">Sí</x:t>
        </x:is>
      </x:c>
      <x:c r="G67" s="9" t="inlineStr">
        <x:is>
          <x:t xml:space="preserve">CONTAINER</x:t>
        </x:is>
      </x:c>
      <x:c r="H67" s="15" t="n">
        <x:v>42</x:v>
      </x:c>
      <x:c r="I67" s="9" t="n">
        <x:v>1</x:v>
      </x:c>
      <x:c r="J67" s="9" t="n">
        <x:v>1</x:v>
      </x:c>
      <x:c r="K67" s="9" t="n">
        <x:v>1</x:v>
      </x:c>
      <x:c r="L67" s="9" t="n">
        <x:v>1</x:v>
      </x:c>
      <x:c r="M67" s="12" t="n">
        <x:v>2.5</x:v>
      </x:c>
      <x:c r="N67" s="9" t="inlineStr">
        <x:is>
          <x:t xml:space="preserve">Contenedor marítimo acondicionado</x:t>
        </x:is>
      </x:c>
      <x:c r="O67" s="10" t="inlineStr">
        <x:is>
          <x:t xml:space="preserve">Estructura container + subestructura interior + revestimiento</x:t>
        </x:is>
      </x:c>
      <x:c r="P67" s="15" t="n">
        <x:v>90</x:v>
      </x:c>
      <x:c r="Q67" s="9" t="inlineStr">
        <x:is>
          <x:t xml:space="preserve">Poliuretano proyectado o EPS/Aislapol 40-60 mm</x:t>
        </x:is>
      </x:c>
      <x:c r="R67" s="15" t="n">
        <x:v>60</x:v>
      </x:c>
      <x:c r="S67" s="10" t="inlineStr">
        <x:is>
          <x:t xml:space="preserve">Cubierta metálica container + sobretecho ventilado opcional</x:t>
        </x:is>
      </x:c>
      <x:c r="T67" s="15" t="n">
        <x:v>120</x:v>
      </x:c>
      <x:c r="U67" s="10" t="inlineStr">
        <x:is>
          <x:t xml:space="preserve">Poliuretano / EPS + barrera anticondensación</x:t>
        </x:is>
      </x:c>
      <x:c r="V67" s="9" t="inlineStr">
        <x:is>
          <x:t xml:space="preserve">Piso terciado 18 mm o base original acondicionada + vinílico</x:t>
        </x:is>
      </x:c>
      <x:c r="W67" s="10" t="inlineStr">
        <x:is>
          <x:t xml:space="preserve">Aislación bajo piso 40-80 mm</x:t>
        </x:is>
      </x:c>
      <x:c r="X67" s="9" t="inlineStr">
        <x:is>
          <x:t xml:space="preserve">Aluminio termopanel</x:t>
        </x:is>
      </x:c>
      <x:c r="Y67" s="9" t="inlineStr">
        <x:is>
          <x:t xml:space="preserve">Acero galvanizado pintado</x:t>
        </x:is>
      </x:c>
      <x:c r="Z67" s="9" t="inlineStr">
        <x:is>
          <x:t xml:space="preserve">Madera pintada</x:t>
        </x:is>
      </x:c>
      <x:c r="AA67" s="9" t="inlineStr">
        <x:is>
          <x:t xml:space="preserve">Dados de hormigón</x:t>
        </x:is>
      </x:c>
      <x:c r="AB67" s="15" t="n">
        <x:v>4</x:v>
      </x:c>
      <x:c r="AC67" s="15" t="n">
        <x:v>7</x:v>
      </x:c>
      <x:c r="AD67" s="9" t="inlineStr">
        <x:is>
          <x:t xml:space="preserve">Loteo habitacional</x:t>
        </x:is>
      </x:c>
      <x:c r="AE67" s="9" t="inlineStr">
        <x:is>
          <x:t xml:space="preserve">Centro templado</x:t>
        </x:is>
      </x:c>
      <x:c r="AF67" s="10" t="inlineStr">
        <x:is>
          <x:t xml:space="preserve">Criterios de aislación, ventilación y tratamiento anticorrosivo (referencial)</x:t>
        </x:is>
      </x:c>
      <x:c r="AG67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67" s="10" t="inlineStr">
        <x:is>
          <x:t xml:space="preserve">Estructura: Contenedor marítimo acondicionado; muros Estructura container + subestructura interior + revestimiento de 90 mm con aislación Poliuretano proyectado o EPS/Aislapol 40-60 mm (60 mm); cubierta Cubierta metálica container + sobretecho ventilado opcional de 120 mm; ventanas Aluminio termopanel; revestimiento exterior Acero galvanizado pintado; interior Yeso cartón; fundación sugerida Pilotes metálicos.</x:t>
        </x:is>
      </x:c>
    </x:row>
    <x:row r="68" ht="32" customHeight="1">
      <x:c r="A68" s="9" t="inlineStr">
        <x:is>
          <x:t xml:space="preserve">MOD-0067</x:t>
        </x:is>
      </x:c>
      <x:c r="B68" s="9" t="inlineStr">
        <x:is>
          <x:t xml:space="preserve">EMP-014</x:t>
        </x:is>
      </x:c>
      <x:c r="C68" s="9" t="inlineStr">
        <x:is>
          <x:t xml:space="preserve">Osorno 112</x:t>
        </x:is>
      </x:c>
      <x:c r="D68" s="9" t="inlineStr">
        <x:is>
          <x:t xml:space="preserve">Osorno</x:t>
        </x:is>
      </x:c>
      <x:c r="E68" s="9" t="inlineStr">
        <x:is>
          <x:t xml:space="preserve">Archipiélago</x:t>
        </x:is>
      </x:c>
      <x:c r="F68" s="9" t="inlineStr">
        <x:is>
          <x:t xml:space="preserve">Sí</x:t>
        </x:is>
      </x:c>
      <x:c r="G68" s="9" t="inlineStr">
        <x:is>
          <x:t xml:space="preserve">CONTAINER</x:t>
        </x:is>
      </x:c>
      <x:c r="H68" s="15" t="n">
        <x:v>112</x:v>
      </x:c>
      <x:c r="I68" s="9" t="n">
        <x:v>3</x:v>
      </x:c>
      <x:c r="J68" s="9" t="n">
        <x:v>2</x:v>
      </x:c>
      <x:c r="K68" s="9" t="n">
        <x:v>1</x:v>
      </x:c>
      <x:c r="L68" s="9" t="n">
        <x:v>3</x:v>
      </x:c>
      <x:c r="M68" s="12" t="n">
        <x:v>2.4</x:v>
      </x:c>
      <x:c r="N68" s="9" t="inlineStr">
        <x:is>
          <x:t xml:space="preserve">Contenedor marítimo acondicionado</x:t>
        </x:is>
      </x:c>
      <x:c r="O68" s="10" t="inlineStr">
        <x:is>
          <x:t xml:space="preserve">Estructura container + subestructura interior + revestimiento</x:t>
        </x:is>
      </x:c>
      <x:c r="P68" s="15" t="n">
        <x:v>110</x:v>
      </x:c>
      <x:c r="Q68" s="9" t="inlineStr">
        <x:is>
          <x:t xml:space="preserve">Poliuretano proyectado o EPS/Aislapol 40-60 mm</x:t>
        </x:is>
      </x:c>
      <x:c r="R68" s="15" t="n">
        <x:v>50</x:v>
      </x:c>
      <x:c r="S68" s="10" t="inlineStr">
        <x:is>
          <x:t xml:space="preserve">Cubierta metálica container + sobretecho ventilado opcional</x:t>
        </x:is>
      </x:c>
      <x:c r="T68" s="15" t="n">
        <x:v>120</x:v>
      </x:c>
      <x:c r="U68" s="10" t="inlineStr">
        <x:is>
          <x:t xml:space="preserve">Poliuretano / EPS + barrera anticondensación</x:t>
        </x:is>
      </x:c>
      <x:c r="V68" s="9" t="inlineStr">
        <x:is>
          <x:t xml:space="preserve">Piso terciado 18 mm o base original acondicionada + vinílico</x:t>
        </x:is>
      </x:c>
      <x:c r="W68" s="10" t="inlineStr">
        <x:is>
          <x:t xml:space="preserve">Aislación bajo piso 40-80 mm</x:t>
        </x:is>
      </x:c>
      <x:c r="X68" s="9" t="inlineStr">
        <x:is>
          <x:t xml:space="preserve">Aluminio termopanel</x:t>
        </x:is>
      </x:c>
      <x:c r="Y68" s="9" t="inlineStr">
        <x:is>
          <x:t xml:space="preserve">Madera tratada ventilada</x:t>
        </x:is>
      </x:c>
      <x:c r="Z68" s="9" t="inlineStr">
        <x:is>
          <x:t xml:space="preserve">Melamina</x:t>
        </x:is>
      </x:c>
      <x:c r="AA68" s="9" t="inlineStr">
        <x:is>
          <x:t xml:space="preserve">Dados de hormigón</x:t>
        </x:is>
      </x:c>
      <x:c r="AB68" s="15" t="n">
        <x:v>4</x:v>
      </x:c>
      <x:c r="AC68" s="15" t="n">
        <x:v>4</x:v>
      </x:c>
      <x:c r="AD68" s="9" t="inlineStr">
        <x:is>
          <x:t xml:space="preserve">Cabaña permanente</x:t>
        </x:is>
      </x:c>
      <x:c r="AE68" s="9" t="inlineStr">
        <x:is>
          <x:t xml:space="preserve">Centro templado</x:t>
        </x:is>
      </x:c>
      <x:c r="AF68" s="10" t="inlineStr">
        <x:is>
          <x:t xml:space="preserve">Criterios de aislación, ventilación y tratamiento anticorrosivo (referencial)</x:t>
        </x:is>
      </x:c>
      <x:c r="AG68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68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(50 mm); cubierta Cubierta metálica container + sobretecho ventilado opcional de 120 mm; ventanas PVC termopanel; revestimiento exterior Plancha metálica prepintada; interior Melamina; fundación sugerida Dados de hormigón.</x:t>
        </x:is>
      </x:c>
    </x:row>
    <x:row r="69" ht="32" customHeight="1">
      <x:c r="A69" s="9" t="inlineStr">
        <x:is>
          <x:t xml:space="preserve">MOD-0068</x:t>
        </x:is>
      </x:c>
      <x:c r="B69" s="9" t="inlineStr">
        <x:is>
          <x:t xml:space="preserve">EMP-014</x:t>
        </x:is>
      </x:c>
      <x:c r="C69" s="9" t="inlineStr">
        <x:is>
          <x:t xml:space="preserve">Coyhaique 96</x:t>
        </x:is>
      </x:c>
      <x:c r="D69" s="9" t="inlineStr">
        <x:is>
          <x:t xml:space="preserve">Coyhaique</x:t>
        </x:is>
      </x:c>
      <x:c r="E69" s="9" t="inlineStr">
        <x:is>
          <x:t xml:space="preserve">Ciudad</x:t>
        </x:is>
      </x:c>
      <x:c r="F69" s="9" t="inlineStr">
        <x:is>
          <x:t xml:space="preserve">Sí</x:t>
        </x:is>
      </x:c>
      <x:c r="G69" s="9" t="inlineStr">
        <x:is>
          <x:t xml:space="preserve">HYBRID_MODULAR</x:t>
        </x:is>
      </x:c>
      <x:c r="H69" s="15" t="n">
        <x:v>96</x:v>
      </x:c>
      <x:c r="I69" s="9" t="n">
        <x:v>3</x:v>
      </x:c>
      <x:c r="J69" s="9" t="n">
        <x:v>2</x:v>
      </x:c>
      <x:c r="K69" s="9" t="n">
        <x:v>1</x:v>
      </x:c>
      <x:c r="L69" s="9" t="n">
        <x:v>3</x:v>
      </x:c>
      <x:c r="M69" s="12" t="n">
        <x:v>2.45</x:v>
      </x:c>
      <x:c r="N69" s="9" t="inlineStr">
        <x:is>
          <x:t xml:space="preserve">Estructura híbrida acero-madera panelizada</x:t>
        </x:is>
      </x:c>
      <x:c r="O69" s="10" t="inlineStr">
        <x:is>
          <x:t xml:space="preserve">Acero galvanizado o madera laminada + panel SIP MgO/OSB</x:t>
        </x:is>
      </x:c>
      <x:c r="P69" s="15" t="n">
        <x:v>160</x:v>
      </x:c>
      <x:c r="Q69" s="9" t="inlineStr">
        <x:is>
          <x:t xml:space="preserve">Lana mineral 75-100 mm o EPS integrado</x:t>
        </x:is>
      </x:c>
      <x:c r="R69" s="15" t="n">
        <x:v>75</x:v>
      </x:c>
      <x:c r="S69" s="10" t="inlineStr">
        <x:is>
          <x:t xml:space="preserve">Módulo volumétrico con cubierta panelizada</x:t>
        </x:is>
      </x:c>
      <x:c r="T69" s="15" t="n">
        <x:v>180</x:v>
      </x:c>
      <x:c r="U69" s="10" t="inlineStr">
        <x:is>
          <x:t xml:space="preserve">Lana mineral / EPS / barrera vapor</x:t>
        </x:is>
      </x:c>
      <x:c r="V69" s="9" t="inlineStr">
        <x:is>
          <x:t xml:space="preserve">Bastidor metálico o madera laminada</x:t>
        </x:is>
      </x:c>
      <x:c r="W69" s="10" t="inlineStr">
        <x:is>
          <x:t xml:space="preserve">Lana mineral 80-100 mm + fibrocemento</x:t>
        </x:is>
      </x:c>
      <x:c r="X69" s="9" t="inlineStr">
        <x:is>
          <x:t xml:space="preserve">Aluminio termopanel</x:t>
        </x:is>
      </x:c>
      <x:c r="Y69" s="9" t="inlineStr">
        <x:is>
          <x:t xml:space="preserve">Fibrocemento tipo siding</x:t>
        </x:is>
      </x:c>
      <x:c r="Z69" s="9" t="inlineStr">
        <x:is>
          <x:t xml:space="preserve">Yeso cartón RH</x:t>
        </x:is>
      </x:c>
      <x:c r="AA69" s="9" t="inlineStr">
        <x:is>
          <x:t xml:space="preserve">Radier</x:t>
        </x:is>
      </x:c>
      <x:c r="AB69" s="15" t="n">
        <x:v>7</x:v>
      </x:c>
      <x:c r="AC69" s="15" t="n">
        <x:v>4</x:v>
      </x:c>
      <x:c r="AD69" s="9" t="inlineStr">
        <x:is>
          <x:t xml:space="preserve">Parcela</x:t>
        </x:is>
      </x:c>
      <x:c r="AE69" s="9" t="inlineStr">
        <x:is>
          <x:t xml:space="preserve">Centro templado</x:t>
        </x:is>
      </x:c>
      <x:c r="AF69" s="10" t="inlineStr">
        <x:is>
          <x:t xml:space="preserve">Criterios de prefabricación modular y coordinación BIM (referencial)</x:t>
        </x:is>
      </x:c>
      <x:c r="AG69" s="10" t="inlineStr">
        <x:is>
          <x:t xml:space="preserve">https://modul.cl/construccion-de-casas-prefabricadas-modulares/ | https://tecnofasthome.cl/casas-modulares/</x:t>
        </x:is>
      </x:c>
      <x:c r="AH69" s="10" t="inlineStr">
        <x:is>
          <x:t xml:space="preserve">Estructura: Módulos de acero + paneles SIP; muros Acero galvanizado o madera laminada + panel SIP MgO/OSB de 160 mm con aislación Lana mineral 75-100 mm o EPS integrado (75 mm); cubierta Módulo volumétrico con cubierta panelizada de 180 mm; ventanas Aluminio termopanel; revestimiento exterior Plancha metálica; interior Yeso cartón RH; fundación sugerida Pilotes ajustables.</x:t>
        </x:is>
      </x:c>
    </x:row>
    <x:row r="70" ht="32" customHeight="1">
      <x:c r="A70" s="9" t="inlineStr">
        <x:is>
          <x:t xml:space="preserve">MOD-0069</x:t>
        </x:is>
      </x:c>
      <x:c r="B70" s="9" t="inlineStr">
        <x:is>
          <x:t xml:space="preserve">EMP-014</x:t>
        </x:is>
      </x:c>
      <x:c r="C70" s="9" t="inlineStr">
        <x:is>
          <x:t xml:space="preserve">Natales 132</x:t>
        </x:is>
      </x:c>
      <x:c r="D70" s="9" t="inlineStr">
        <x:is>
          <x:t xml:space="preserve">Natales</x:t>
        </x:is>
      </x:c>
      <x:c r="E70" s="9" t="inlineStr">
        <x:is>
          <x:t xml:space="preserve">Lago</x:t>
        </x:is>
      </x:c>
      <x:c r="F70" s="9" t="inlineStr">
        <x:is>
          <x:t xml:space="preserve">Sí</x:t>
        </x:is>
      </x:c>
      <x:c r="G70" s="9" t="inlineStr">
        <x:is>
          <x:t xml:space="preserve">SIP</x:t>
        </x:is>
      </x:c>
      <x:c r="H70" s="15" t="n">
        <x:v>132</x:v>
      </x:c>
      <x:c r="I70" s="9" t="n">
        <x:v>3</x:v>
      </x:c>
      <x:c r="J70" s="9" t="n">
        <x:v>2</x:v>
      </x:c>
      <x:c r="K70" s="9" t="n">
        <x:v>1</x:v>
      </x:c>
      <x:c r="L70" s="9" t="n">
        <x:v>3</x:v>
      </x:c>
      <x:c r="M70" s="12" t="n">
        <x:v>2.5</x:v>
      </x:c>
      <x:c r="N70" s="9" t="inlineStr">
        <x:is>
          <x:t xml:space="preserve">Panel SIP estructural con uniones en pino seco</x:t>
        </x:is>
      </x:c>
      <x:c r="O70" s="10" t="inlineStr">
        <x:is>
          <x:t xml:space="preserve">2 placas OSB estructural + núcleo EPS alta densidad</x:t>
        </x:is>
      </x:c>
      <x:c r="P70" s="15" t="n">
        <x:v>114</x:v>
      </x:c>
      <x:c r="Q70" s="9" t="inlineStr">
        <x:is>
          <x:t xml:space="preserve">EPS alta densidad 15 kg/m³</x:t>
        </x:is>
      </x:c>
      <x:c r="R70" s="15" t="n">
        <x:v>68</x:v>
      </x:c>
      <x:c r="S70" s="10" t="inlineStr">
        <x:is>
          <x:t xml:space="preserve">Panel SIP de cubierta + membrana hidrófuga + hojalatería</x:t>
        </x:is>
      </x:c>
      <x:c r="T70" s="15" t="n">
        <x:v>164</x:v>
      </x:c>
      <x:c r="U70" s="10" t="inlineStr">
        <x:is>
          <x:t xml:space="preserve">EPS integrado + sellos PU</x:t>
        </x:is>
      </x:c>
      <x:c r="V70" s="9" t="inlineStr">
        <x:is>
          <x:t xml:space="preserve">Base entramado madera o radier con barrera de humedad</x:t>
        </x:is>
      </x:c>
      <x:c r="W70" s="10" t="inlineStr">
        <x:is>
          <x:t xml:space="preserve">Aislación bajo piso PET o lana mineral 50-100 mm</x:t>
        </x:is>
      </x:c>
      <x:c r="X70" s="9" t="inlineStr">
        <x:is>
          <x:t xml:space="preserve">PVC DVH</x:t>
        </x:is>
      </x:c>
      <x:c r="Y70" s="9" t="inlineStr">
        <x:is>
          <x:t xml:space="preserve">Madera tratada</x:t>
        </x:is>
      </x:c>
      <x:c r="Z70" s="9" t="inlineStr">
        <x:is>
          <x:t xml:space="preserve">Yeso cartón pintado</x:t>
        </x:is>
      </x:c>
      <x:c r="AA70" s="9" t="inlineStr">
        <x:is>
          <x:t xml:space="preserve">Sobrecimientos y radier</x:t>
        </x:is>
      </x:c>
      <x:c r="AB70" s="15" t="n">
        <x:v>6</x:v>
      </x:c>
      <x:c r="AC70" s="15" t="n">
        <x:v>8</x:v>
      </x:c>
      <x:c r="AD70" s="9" t="inlineStr">
        <x:is>
          <x:t xml:space="preserve">Turismo / arriendo</x:t>
        </x:is>
      </x:c>
      <x:c r="AE70" s="9" t="inlineStr">
        <x:is>
          <x:t xml:space="preserve">Centro templado</x:t>
        </x:is>
      </x:c>
      <x:c r="AF70" s="10" t="inlineStr">
        <x:is>
          <x:t xml:space="preserve">NCh3393:2016 (referencial para paneles SIP)</x:t>
        </x:is>
      </x:c>
      <x:c r="AG70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0" s="10" t="inlineStr">
        <x:is>
          <x:t xml:space="preserve">Estructura: Panel SIP estructural OSB/EPS/OSB; muros 2 placas OSB estructural + núcleo EPS alta densidad de 114 mm con aislación EPS alta densidad 15 kg/m³ (68 mm); cubierta Panel SIP de cubierta + membrana hidrófuga + hojalatería de 164 mm; ventanas PVC termopanel; revestimiento exterior Madera tratada; interior MDF en zonas secas; fundación sugerida Pilotes metálicos.</x:t>
        </x:is>
      </x:c>
    </x:row>
    <x:row r="71" ht="32" customHeight="1">
      <x:c r="A71" s="9" t="inlineStr">
        <x:is>
          <x:t xml:space="preserve">MOD-0070</x:t>
        </x:is>
      </x:c>
      <x:c r="B71" s="9" t="inlineStr">
        <x:is>
          <x:t xml:space="preserve">EMP-014</x:t>
        </x:is>
      </x:c>
      <x:c r="C71" s="9" t="inlineStr">
        <x:is>
          <x:t xml:space="preserve">Aysén 176</x:t>
        </x:is>
      </x:c>
      <x:c r="D71" s="9" t="inlineStr">
        <x:is>
          <x:t xml:space="preserve">Aysén</x:t>
        </x:is>
      </x:c>
      <x:c r="E71" s="9" t="inlineStr">
        <x:is>
          <x:t xml:space="preserve">Ciudad</x:t>
        </x:is>
      </x:c>
      <x:c r="F71" s="9" t="inlineStr">
        <x:is>
          <x:t xml:space="preserve">Sí</x:t>
        </x:is>
      </x:c>
      <x:c r="G71" s="9" t="inlineStr">
        <x:is>
          <x:t xml:space="preserve">STEEL_FRAME</x:t>
        </x:is>
      </x:c>
      <x:c r="H71" s="15" t="n">
        <x:v>176</x:v>
      </x:c>
      <x:c r="I71" s="9" t="n">
        <x:v>4</x:v>
      </x:c>
      <x:c r="J71" s="9" t="n">
        <x:v>3</x:v>
      </x:c>
      <x:c r="K71" s="9" t="n">
        <x:v>1</x:v>
      </x:c>
      <x:c r="L71" s="9" t="n">
        <x:v>4</x:v>
      </x:c>
      <x:c r="M71" s="12" t="n">
        <x:v>2.45</x:v>
      </x:c>
      <x:c r="N71" s="9" t="inlineStr">
        <x:is>
          <x:t xml:space="preserve">Perfilería de acero galvanizado liviano</x:t>
        </x:is>
      </x:c>
      <x:c r="O71" s="10" t="inlineStr">
        <x:is>
          <x:t xml:space="preserve">Acero galvanizado + placa OSB/fibrocemento + cámara técnica</x:t>
        </x:is>
      </x:c>
      <x:c r="P71" s="15" t="n">
        <x:v>110</x:v>
      </x:c>
      <x:c r="Q71" s="9" t="inlineStr">
        <x:is>
          <x:t xml:space="preserve">Lana mineral o lana de roca / PET / EPS según zona térmica</x:t>
        </x:is>
      </x:c>
      <x:c r="R71" s="15" t="n">
        <x:v>100</x:v>
      </x:c>
      <x:c r="S71" s="10" t="inlineStr">
        <x:is>
          <x:t xml:space="preserve">Cerchas o paneles steel frame + cubierta metálica</x:t>
        </x:is>
      </x:c>
      <x:c r="T71" s="15" t="n">
        <x:v>150</x:v>
      </x:c>
      <x:c r="U71" s="10" t="inlineStr">
        <x:is>
          <x:t xml:space="preserve">Lana mineral / lana de roca + barrera de vapor</x:t>
        </x:is>
      </x:c>
      <x:c r="V71" s="9" t="inlineStr">
        <x:is>
          <x:t xml:space="preserve">Envigado metálico o plataforma estructural</x:t>
        </x:is>
      </x:c>
      <x:c r="W71" s="10" t="inlineStr">
        <x:is>
          <x:t xml:space="preserve">Lana mineral 50-100 mm + placas estructurales</x:t>
        </x:is>
      </x:c>
      <x:c r="X71" s="9" t="inlineStr">
        <x:is>
          <x:t xml:space="preserve">Aluminio RPT termopanel</x:t>
        </x:is>
      </x:c>
      <x:c r="Y71" s="9" t="inlineStr">
        <x:is>
          <x:t xml:space="preserve">Estuco sobre placa cementicia</x:t>
        </x:is>
      </x:c>
      <x:c r="Z71" s="9" t="inlineStr">
        <x:is>
          <x:t xml:space="preserve">Yeso cartón RF</x:t>
        </x:is>
      </x:c>
      <x:c r="AA71" s="9" t="inlineStr">
        <x:is>
          <x:t xml:space="preserve">Vigas de fundación y radier</x:t>
        </x:is>
      </x:c>
      <x:c r="AB71" s="15" t="n">
        <x:v>5</x:v>
      </x:c>
      <x:c r="AC71" s="15" t="n">
        <x:v>6</x:v>
      </x:c>
      <x:c r="AD71" s="9" t="inlineStr">
        <x:is>
          <x:t xml:space="preserve">Segunda vivienda</x:t>
        </x:is>
      </x:c>
      <x:c r="AE71" s="9" t="inlineStr">
        <x:is>
          <x:t xml:space="preserve">Centro templado</x:t>
        </x:is>
      </x:c>
      <x:c r="AF71" s="10" t="inlineStr">
        <x:is>
          <x:t xml:space="preserve">Criterio térmico referencial OGUC / reglamentación térmica vigente</x:t>
        </x:is>
      </x:c>
      <x:c r="AG71" s="10" t="inlineStr">
        <x:is>
          <x:t xml:space="preserve">https://www.steelframe.cl/ | https://vhaceros.cl/blog/steel-framing-principios-estructurales-y-ventajas-en-la-construccion-chilena/</x:t>
        </x:is>
      </x:c>
      <x:c r="AH71" s="10" t="inlineStr">
        <x:is>
          <x:t xml:space="preserve">Estructura: Panelizado steel frame industrializado; muros Acero galvanizado + placa OSB/fibrocemento + cámara técnica de 110 mm con aislación Lana mineral o lana de roca / PET / EPS según zona térmica (100 mm); cubierta Cerchas o paneles steel frame + cubierta metálica de 150 mm; ventanas Aluminio RPT termopanel; revestimiento exterior Siding fibrocemento; interior Yeso cartón RF; fundación sugerida Pilotes.</x:t>
        </x:is>
      </x:c>
    </x:row>
    <x:row r="72" ht="32" customHeight="1">
      <x:c r="A72" s="9" t="inlineStr">
        <x:is>
          <x:t xml:space="preserve">MOD-0071</x:t>
        </x:is>
      </x:c>
      <x:c r="B72" s="9" t="inlineStr">
        <x:is>
          <x:t xml:space="preserve">EMP-015</x:t>
        </x:is>
      </x:c>
      <x:c r="C72" s="9" t="inlineStr">
        <x:is>
          <x:t xml:space="preserve">Temuco 36</x:t>
        </x:is>
      </x:c>
      <x:c r="D72" s="9" t="inlineStr">
        <x:is>
          <x:t xml:space="preserve">Temuco</x:t>
        </x:is>
      </x:c>
      <x:c r="E72" s="9" t="inlineStr">
        <x:is>
          <x:t xml:space="preserve">Volcán</x:t>
        </x:is>
      </x:c>
      <x:c r="F72" s="9" t="inlineStr">
        <x:is>
          <x:t xml:space="preserve">Sí</x:t>
        </x:is>
      </x:c>
      <x:c r="G72" s="9" t="inlineStr">
        <x:is>
          <x:t xml:space="preserve">STEEL_FRAME</x:t>
        </x:is>
      </x:c>
      <x:c r="H72" s="15" t="n">
        <x:v>36</x:v>
      </x:c>
      <x:c r="I72" s="9" t="n">
        <x:v>1</x:v>
      </x:c>
      <x:c r="J72" s="9" t="n">
        <x:v>1</x:v>
      </x:c>
      <x:c r="K72" s="9" t="n">
        <x:v>1</x:v>
      </x:c>
      <x:c r="L72" s="9" t="n">
        <x:v>1</x:v>
      </x:c>
      <x:c r="M72" s="12" t="n">
        <x:v>2.4</x:v>
      </x:c>
      <x:c r="N72" s="9" t="inlineStr">
        <x:is>
          <x:t xml:space="preserve">Perfilería de acero galvanizado liviano</x:t>
        </x:is>
      </x:c>
      <x:c r="O72" s="10" t="inlineStr">
        <x:is>
          <x:t xml:space="preserve">Acero galvanizado + placa OSB/fibrocemento + cámara técnica</x:t>
        </x:is>
      </x:c>
      <x:c r="P72" s="15" t="n">
        <x:v>90</x:v>
      </x:c>
      <x:c r="Q72" s="9" t="inlineStr">
        <x:is>
          <x:t xml:space="preserve">Lana mineral o lana de roca / PET / EPS según zona térmica</x:t>
        </x:is>
      </x:c>
      <x:c r="R72" s="15" t="n">
        <x:v>100</x:v>
      </x:c>
      <x:c r="S72" s="10" t="inlineStr">
        <x:is>
          <x:t xml:space="preserve">Cerchas o paneles steel frame + cubierta metálica</x:t>
        </x:is>
      </x:c>
      <x:c r="T72" s="15" t="n">
        <x:v>150</x:v>
      </x:c>
      <x:c r="U72" s="10" t="inlineStr">
        <x:is>
          <x:t xml:space="preserve">Lana mineral / lana de roca + barrera de vapor</x:t>
        </x:is>
      </x:c>
      <x:c r="V72" s="9" t="inlineStr">
        <x:is>
          <x:t xml:space="preserve">Envigado metálico o plataforma estructural</x:t>
        </x:is>
      </x:c>
      <x:c r="W72" s="10" t="inlineStr">
        <x:is>
          <x:t xml:space="preserve">Lana mineral 50-100 mm + placas estructurales</x:t>
        </x:is>
      </x:c>
      <x:c r="X72" s="9" t="inlineStr">
        <x:is>
          <x:t xml:space="preserve">PVC termopanel</x:t>
        </x:is>
      </x:c>
      <x:c r="Y72" s="9" t="inlineStr">
        <x:is>
          <x:t xml:space="preserve">Plancha metálica</x:t>
        </x:is>
      </x:c>
      <x:c r="Z72" s="9" t="inlineStr">
        <x:is>
          <x:t xml:space="preserve">Yeso cartón</x:t>
        </x:is>
      </x:c>
      <x:c r="AA72" s="9" t="inlineStr">
        <x:is>
          <x:t xml:space="preserve">Pilotes</x:t>
        </x:is>
      </x:c>
      <x:c r="AB72" s="15" t="n">
        <x:v>5</x:v>
      </x:c>
      <x:c r="AC72" s="15" t="n">
        <x:v>12</x:v>
      </x:c>
      <x:c r="AD72" s="9" t="inlineStr">
        <x:is>
          <x:t xml:space="preserve">Turismo / arriendo</x:t>
        </x:is>
      </x:c>
      <x:c r="AE72" s="9" t="inlineStr">
        <x:is>
          <x:t xml:space="preserve">Centro templado</x:t>
        </x:is>
      </x:c>
      <x:c r="AF72" s="10" t="inlineStr">
        <x:is>
          <x:t xml:space="preserve">Criterio térmico referencial OGUC / reglamentación térmica vigente</x:t>
        </x:is>
      </x:c>
      <x:c r="AG72" s="10" t="inlineStr">
        <x:is>
          <x:t xml:space="preserve">https://www.steelframe.cl/ | https://vhaceros.cl/blog/steel-framing-principios-estructurales-y-ventajas-en-la-construccion-chilena/</x:t>
        </x:is>
      </x:c>
      <x:c r="AH72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(100 mm); cubierta Cerchas o paneles steel frame + cubierta metálica de 150 mm; ventanas PVC termopanel; revestimiento exterior Estuco sobre placa cementicia; interior Yeso cartón RF; fundación sugerida Pilotes.</x:t>
        </x:is>
      </x:c>
    </x:row>
    <x:row r="73" ht="32" customHeight="1">
      <x:c r="A73" s="9" t="inlineStr">
        <x:is>
          <x:t xml:space="preserve">MOD-0072</x:t>
        </x:is>
      </x:c>
      <x:c r="B73" s="9" t="inlineStr">
        <x:is>
          <x:t xml:space="preserve">EMP-015</x:t>
        </x:is>
      </x:c>
      <x:c r="C73" s="9" t="inlineStr">
        <x:is>
          <x:t xml:space="preserve">Valdivia 104</x:t>
        </x:is>
      </x:c>
      <x:c r="D73" s="9" t="inlineStr">
        <x:is>
          <x:t xml:space="preserve">Valdivia</x:t>
        </x:is>
      </x:c>
      <x:c r="E73" s="9" t="inlineStr">
        <x:is>
          <x:t xml:space="preserve">Volcán</x:t>
        </x:is>
      </x:c>
      <x:c r="F73" s="9" t="inlineStr">
        <x:is>
          <x:t xml:space="preserve">Sí</x:t>
        </x:is>
      </x:c>
      <x:c r="G73" s="9" t="inlineStr">
        <x:is>
          <x:t xml:space="preserve">STEEL_FRAME</x:t>
        </x:is>
      </x:c>
      <x:c r="H73" s="15" t="n">
        <x:v>104</x:v>
      </x:c>
      <x:c r="I73" s="9" t="n">
        <x:v>3</x:v>
      </x:c>
      <x:c r="J73" s="9" t="n">
        <x:v>2</x:v>
      </x:c>
      <x:c r="K73" s="9" t="n">
        <x:v>1</x:v>
      </x:c>
      <x:c r="L73" s="9" t="n">
        <x:v>3</x:v>
      </x:c>
      <x:c r="M73" s="12" t="n">
        <x:v>2.5</x:v>
      </x:c>
      <x:c r="N73" s="9" t="inlineStr">
        <x:is>
          <x:t xml:space="preserve">Panelizado steel frame industrializado</x:t>
        </x:is>
      </x:c>
      <x:c r="O73" s="10" t="inlineStr">
        <x:is>
          <x:t xml:space="preserve">Acero galvanizado + placa OSB/fibrocemento + cámara técnica</x:t>
        </x:is>
      </x:c>
      <x:c r="P73" s="15" t="n">
        <x:v>140</x:v>
      </x:c>
      <x:c r="Q73" s="9" t="inlineStr">
        <x:is>
          <x:t xml:space="preserve">Lana mineral o lana de roca / PET / EPS según zona térmica</x:t>
        </x:is>
      </x:c>
      <x:c r="R73" s="15" t="n">
        <x:v>100</x:v>
      </x:c>
      <x:c r="S73" s="10" t="inlineStr">
        <x:is>
          <x:t xml:space="preserve">Cerchas o paneles steel frame + cubierta metálica</x:t>
        </x:is>
      </x:c>
      <x:c r="T73" s="15" t="n">
        <x:v>180</x:v>
      </x:c>
      <x:c r="U73" s="10" t="inlineStr">
        <x:is>
          <x:t xml:space="preserve">Lana mineral / lana de roca + barrera de vapor</x:t>
        </x:is>
      </x:c>
      <x:c r="V73" s="9" t="inlineStr">
        <x:is>
          <x:t xml:space="preserve">Envigado metálico o plataforma estructural</x:t>
        </x:is>
      </x:c>
      <x:c r="W73" s="10" t="inlineStr">
        <x:is>
          <x:t xml:space="preserve">Lana mineral 50-100 mm + placas estructurales</x:t>
        </x:is>
      </x:c>
      <x:c r="X73" s="9" t="inlineStr">
        <x:is>
          <x:t xml:space="preserve">PVC termopanel</x:t>
        </x:is>
      </x:c>
      <x:c r="Y73" s="9" t="inlineStr">
        <x:is>
          <x:t xml:space="preserve">Estuco sobre placa cementicia</x:t>
        </x:is>
      </x:c>
      <x:c r="Z73" s="9" t="inlineStr">
        <x:is>
          <x:t xml:space="preserve">Yeso cartón</x:t>
        </x:is>
      </x:c>
      <x:c r="AA73" s="9" t="inlineStr">
        <x:is>
          <x:t xml:space="preserve">Radier reforzado</x:t>
        </x:is>
      </x:c>
      <x:c r="AB73" s="15" t="n">
        <x:v>8</x:v>
      </x:c>
      <x:c r="AC73" s="15" t="n">
        <x:v>13</x:v>
      </x:c>
      <x:c r="AD73" s="9" t="inlineStr">
        <x:is>
          <x:t xml:space="preserve">Cabaña permanente</x:t>
        </x:is>
      </x:c>
      <x:c r="AE73" s="9" t="inlineStr">
        <x:is>
          <x:t xml:space="preserve">Centro templado</x:t>
        </x:is>
      </x:c>
      <x:c r="AF73" s="10" t="inlineStr">
        <x:is>
          <x:t xml:space="preserve">Criterio térmico referencial OGUC / reglamentación térmica vigente</x:t>
        </x:is>
      </x:c>
      <x:c r="AG73" s="10" t="inlineStr">
        <x:is>
          <x:t xml:space="preserve">https://www.steelframe.cl/ | https://vhaceros.cl/blog/steel-framing-principios-estructurales-y-ventajas-en-la-construccion-chilena/</x:t>
        </x:is>
      </x:c>
      <x:c r="AH73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180 mm; ventanas PVC termopanel; revestimiento exterior Estuco sobre placa cementicia; interior MDF pintado; fundación sugerida Radier reforzado.</x:t>
        </x:is>
      </x:c>
    </x:row>
    <x:row r="74" ht="32" customHeight="1">
      <x:c r="A74" s="9" t="inlineStr">
        <x:is>
          <x:t xml:space="preserve">MOD-0073</x:t>
        </x:is>
      </x:c>
      <x:c r="B74" s="9" t="inlineStr">
        <x:is>
          <x:t xml:space="preserve">EMP-015</x:t>
        </x:is>
      </x:c>
      <x:c r="C74" s="9" t="inlineStr">
        <x:is>
          <x:t xml:space="preserve">Puerto Varas 104</x:t>
        </x:is>
      </x:c>
      <x:c r="D74" s="9" t="inlineStr">
        <x:is>
          <x:t xml:space="preserve">Puerto Varas</x:t>
        </x:is>
      </x:c>
      <x:c r="E74" s="9" t="inlineStr">
        <x:is>
          <x:t xml:space="preserve">Volcán</x:t>
        </x:is>
      </x:c>
      <x:c r="F74" s="9" t="inlineStr">
        <x:is>
          <x:t xml:space="preserve">Sí</x:t>
        </x:is>
      </x:c>
      <x:c r="G74" s="9" t="inlineStr">
        <x:is>
          <x:t xml:space="preserve">SIP</x:t>
        </x:is>
      </x:c>
      <x:c r="H74" s="15" t="n">
        <x:v>104</x:v>
      </x:c>
      <x:c r="I74" s="9" t="n">
        <x:v>3</x:v>
      </x:c>
      <x:c r="J74" s="9" t="n">
        <x:v>2</x:v>
      </x:c>
      <x:c r="K74" s="9" t="n">
        <x:v>1</x:v>
      </x:c>
      <x:c r="L74" s="9" t="n">
        <x:v>3</x:v>
      </x:c>
      <x:c r="M74" s="12" t="n">
        <x:v>2.5</x:v>
      </x:c>
      <x:c r="N74" s="9" t="inlineStr">
        <x:is>
          <x:t xml:space="preserve">Panel SIP estructural OSB/EPS/OSB</x:t>
        </x:is>
      </x:c>
      <x:c r="O74" s="10" t="inlineStr">
        <x:is>
          <x:t xml:space="preserve">2 placas OSB estructural + núcleo EPS alta densidad</x:t>
        </x:is>
      </x:c>
      <x:c r="P74" s="15" t="n">
        <x:v>90</x:v>
      </x:c>
      <x:c r="Q74" s="9" t="inlineStr">
        <x:is>
          <x:t xml:space="preserve">EPS alta densidad 15 kg/m³</x:t>
        </x:is>
      </x:c>
      <x:c r="R74" s="15" t="n">
        <x:v>68</x:v>
      </x:c>
      <x:c r="S74" s="10" t="inlineStr">
        <x:is>
          <x:t xml:space="preserve">Panel SIP de cubierta + membrana hidrófuga + hojalatería</x:t>
        </x:is>
      </x:c>
      <x:c r="T74" s="15" t="n">
        <x:v>114</x:v>
      </x:c>
      <x:c r="U74" s="10" t="inlineStr">
        <x:is>
          <x:t xml:space="preserve">EPS integrado + sellos PU</x:t>
        </x:is>
      </x:c>
      <x:c r="V74" s="9" t="inlineStr">
        <x:is>
          <x:t xml:space="preserve">Base entramado madera o radier con barrera de humedad</x:t>
        </x:is>
      </x:c>
      <x:c r="W74" s="10" t="inlineStr">
        <x:is>
          <x:t xml:space="preserve">Aislación bajo piso PET o lana mineral 50-100 mm</x:t>
        </x:is>
      </x:c>
      <x:c r="X74" s="9" t="inlineStr">
        <x:is>
          <x:t xml:space="preserve">Aluminio con termopanel</x:t>
        </x:is>
      </x:c>
      <x:c r="Y74" s="9" t="inlineStr">
        <x:is>
          <x:t xml:space="preserve">Smart Panel</x:t>
        </x:is>
      </x:c>
      <x:c r="Z74" s="9" t="inlineStr">
        <x:is>
          <x:t xml:space="preserve">Yeso cartón RH en zonas húmedas</x:t>
        </x:is>
      </x:c>
      <x:c r="AA74" s="9" t="inlineStr">
        <x:is>
          <x:t xml:space="preserve">Sobrecimientos y radier</x:t>
        </x:is>
      </x:c>
      <x:c r="AB74" s="15" t="n">
        <x:v>5</x:v>
      </x:c>
      <x:c r="AC74" s="15" t="n">
        <x:v>12</x:v>
      </x:c>
      <x:c r="AD74" s="9" t="inlineStr">
        <x:is>
          <x:t xml:space="preserve">Oficina + vivienda</x:t>
        </x:is>
      </x:c>
      <x:c r="AE74" s="9" t="inlineStr">
        <x:is>
          <x:t xml:space="preserve">Centro templado</x:t>
        </x:is>
      </x:c>
      <x:c r="AF74" s="10" t="inlineStr">
        <x:is>
          <x:t xml:space="preserve">NCh3393:2016 (referencial para paneles SIP)</x:t>
        </x:is>
      </x:c>
      <x:c r="AG7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4" s="10" t="inlineStr">
        <x:is>
          <x:t xml:space="preserve">Estructura: Panel SIP estructural con uniones en pino seco; muros 2 placas OSB estructural + núcleo EPS alta densidad de 90 mm con aislación EPS alta densidad 15 kg/m³ (68 mm); cubierta Panel SIP de cubierta + membrana hidrófuga + hojalatería de 114 mm; ventanas PVC termopanel; revestimiento exterior Smart Panel; interior Yeso cartón RH en zonas húmedas; fundación sugerida Radier afinado.</x:t>
        </x:is>
      </x:c>
    </x:row>
    <x:row r="75" ht="32" customHeight="1">
      <x:c r="A75" s="9" t="inlineStr">
        <x:is>
          <x:t xml:space="preserve">MOD-0074</x:t>
        </x:is>
      </x:c>
      <x:c r="B75" s="9" t="inlineStr">
        <x:is>
          <x:t xml:space="preserve">EMP-015</x:t>
        </x:is>
      </x:c>
      <x:c r="C75" s="9" t="inlineStr">
        <x:is>
          <x:t xml:space="preserve">Frutillar 120</x:t>
        </x:is>
      </x:c>
      <x:c r="D75" s="9" t="inlineStr">
        <x:is>
          <x:t xml:space="preserve">Frutillar</x:t>
        </x:is>
      </x:c>
      <x:c r="E75" s="9" t="inlineStr">
        <x:is>
          <x:t xml:space="preserve">Río</x:t>
        </x:is>
      </x:c>
      <x:c r="F75" s="9" t="inlineStr">
        <x:is>
          <x:t xml:space="preserve">Sí</x:t>
        </x:is>
      </x:c>
      <x:c r="G75" s="9" t="inlineStr">
        <x:is>
          <x:t xml:space="preserve">MODULAR_TIMBER</x:t>
        </x:is>
      </x:c>
      <x:c r="H75" s="15" t="n">
        <x:v>120</x:v>
      </x:c>
      <x:c r="I75" s="9" t="n">
        <x:v>3</x:v>
      </x:c>
      <x:c r="J75" s="9" t="n">
        <x:v>2</x:v>
      </x:c>
      <x:c r="K75" s="9" t="n">
        <x:v>1</x:v>
      </x:c>
      <x:c r="L75" s="9" t="n">
        <x:v>3</x:v>
      </x:c>
      <x:c r="M75" s="12" t="n">
        <x:v>2.35</x:v>
      </x:c>
      <x:c r="N75" s="9" t="inlineStr">
        <x:is>
          <x:t xml:space="preserve">Wood frame modular</x:t>
        </x:is>
      </x:c>
      <x:c r="O75" s="10" t="inlineStr">
        <x:is>
          <x:t xml:space="preserve">Madera estructural + OSB / terciado + barrera hidrófuga</x:t>
        </x:is>
      </x:c>
      <x:c r="P75" s="15" t="n">
        <x:v>140</x:v>
      </x:c>
      <x:c r="Q75" s="9" t="inlineStr">
        <x:is>
          <x:t xml:space="preserve">Lana mineral / lana de vidrio / PET reciclado</x:t>
        </x:is>
      </x:c>
      <x:c r="R75" s="15" t="n">
        <x:v>90</x:v>
      </x:c>
      <x:c r="S75" s="10" t="inlineStr">
        <x:is>
          <x:t xml:space="preserve">Cercha de madera + cubierta metálica o tejuela asfáltica</x:t>
        </x:is>
      </x:c>
      <x:c r="T75" s="15" t="n">
        <x:v>180</x:v>
      </x:c>
      <x:c r="U75" s="10" t="inlineStr">
        <x:is>
          <x:t xml:space="preserve">Lana mineral 80-140 mm + membrana</x:t>
        </x:is>
      </x:c>
      <x:c r="V75" s="9" t="inlineStr">
        <x:is>
          <x:t xml:space="preserve">Plataforma de madera estructural o radier</x:t>
        </x:is>
      </x:c>
      <x:c r="W75" s="10" t="inlineStr">
        <x:is>
          <x:t xml:space="preserve">Lana mineral 50-100 mm / barrera humedad</x:t>
        </x:is>
      </x:c>
      <x:c r="X75" s="9" t="inlineStr">
        <x:is>
          <x:t xml:space="preserve">Aluminio termopanel</x:t>
        </x:is>
      </x:c>
      <x:c r="Y75" s="9" t="inlineStr">
        <x:is>
          <x:t xml:space="preserve">Madera tratada</x:t>
        </x:is>
      </x:c>
      <x:c r="Z75" s="9" t="inlineStr">
        <x:is>
          <x:t xml:space="preserve">Yeso cartón</x:t>
        </x:is>
      </x:c>
      <x:c r="AA75" s="9" t="inlineStr">
        <x:is>
          <x:t xml:space="preserve">Radier</x:t>
        </x:is>
      </x:c>
      <x:c r="AB75" s="15" t="n">
        <x:v>4</x:v>
      </x:c>
      <x:c r="AC75" s="15" t="n">
        <x:v>13</x:v>
      </x:c>
      <x:c r="AD75" s="9" t="inlineStr">
        <x:is>
          <x:t xml:space="preserve">Primera vivienda</x:t>
        </x:is>
      </x:c>
      <x:c r="AE75" s="9" t="inlineStr">
        <x:is>
          <x:t xml:space="preserve">Centro templado</x:t>
        </x:is>
      </x:c>
      <x:c r="AF75" s="10" t="inlineStr">
        <x:is>
          <x:t xml:space="preserve">Especificaciones técnicas de vivienda industrializada en madera (referencial)</x:t>
        </x:is>
      </x:c>
      <x:c r="AG75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75" s="10" t="inlineStr">
        <x:is>
          <x:t xml:space="preserve">Estructura: Wood frame modular; muros Madera estructural + OSB / terciado + barrera hidrófuga de 140 mm con aislación Lana mineral / lana de vidrio / PET reciclado (90 mm); cubierta Cercha de madera + cubierta metálica o tejuela asfáltica de 180 mm; ventanas PVC termopanel; revestimiento exterior Madera tratada; interior Yeso cartón; fundación sugerida Radier.</x:t>
        </x:is>
      </x:c>
    </x:row>
    <x:row r="76" ht="32" customHeight="1">
      <x:c r="A76" s="9" t="inlineStr">
        <x:is>
          <x:t xml:space="preserve">MOD-0075</x:t>
        </x:is>
      </x:c>
      <x:c r="B76" s="9" t="inlineStr">
        <x:is>
          <x:t xml:space="preserve">EMP-015</x:t>
        </x:is>
      </x:c>
      <x:c r="C76" s="9" t="inlineStr">
        <x:is>
          <x:t xml:space="preserve">Panguipulli 176</x:t>
        </x:is>
      </x:c>
      <x:c r="D76" s="9" t="inlineStr">
        <x:is>
          <x:t xml:space="preserve">Panguipulli</x:t>
        </x:is>
      </x:c>
      <x:c r="E76" s="9" t="inlineStr">
        <x:is>
          <x:t xml:space="preserve">Valle</x:t>
        </x:is>
      </x:c>
      <x:c r="F76" s="9" t="inlineStr">
        <x:is>
          <x:t xml:space="preserve">Sí</x:t>
        </x:is>
      </x:c>
      <x:c r="G76" s="9" t="inlineStr">
        <x:is>
          <x:t xml:space="preserve">HYBRID_MODULAR</x:t>
        </x:is>
      </x:c>
      <x:c r="H76" s="15" t="n">
        <x:v>176</x:v>
      </x:c>
      <x:c r="I76" s="9" t="n">
        <x:v>4</x:v>
      </x:c>
      <x:c r="J76" s="9" t="n">
        <x:v>3</x:v>
      </x:c>
      <x:c r="K76" s="9" t="n">
        <x:v>2</x:v>
      </x:c>
      <x:c r="L76" s="9" t="n">
        <x:v>4</x:v>
      </x:c>
      <x:c r="M76" s="12" t="n">
        <x:v>2.5</x:v>
      </x:c>
      <x:c r="N76" s="9" t="inlineStr">
        <x:is>
          <x:t xml:space="preserve">Estructura híbrida acero-madera panelizada</x:t>
        </x:is>
      </x:c>
      <x:c r="O76" s="10" t="inlineStr">
        <x:is>
          <x:t xml:space="preserve">Acero galvanizado o madera laminada + panel SIP MgO/OSB</x:t>
        </x:is>
      </x:c>
      <x:c r="P76" s="15" t="n">
        <x:v>110</x:v>
      </x:c>
      <x:c r="Q76" s="9" t="inlineStr">
        <x:is>
          <x:t xml:space="preserve">Lana mineral 75-100 mm o EPS integrado</x:t>
        </x:is>
      </x:c>
      <x:c r="R76" s="15" t="n">
        <x:v>90</x:v>
      </x:c>
      <x:c r="S76" s="10" t="inlineStr">
        <x:is>
          <x:t xml:space="preserve">Módulo volumétrico con cubierta panelizada</x:t>
        </x:is>
      </x:c>
      <x:c r="T76" s="15" t="n">
        <x:v>160</x:v>
      </x:c>
      <x:c r="U76" s="10" t="inlineStr">
        <x:is>
          <x:t xml:space="preserve">Lana mineral / EPS / barrera vapor</x:t>
        </x:is>
      </x:c>
      <x:c r="V76" s="9" t="inlineStr">
        <x:is>
          <x:t xml:space="preserve">Bastidor metálico o madera laminada</x:t>
        </x:is>
      </x:c>
      <x:c r="W76" s="10" t="inlineStr">
        <x:is>
          <x:t xml:space="preserve">Lana mineral 80-100 mm + fibrocemento</x:t>
        </x:is>
      </x:c>
      <x:c r="X76" s="9" t="inlineStr">
        <x:is>
          <x:t xml:space="preserve">PVC termopanel</x:t>
        </x:is>
      </x:c>
      <x:c r="Y76" s="9" t="inlineStr">
        <x:is>
          <x:t xml:space="preserve">Plancha metálica</x:t>
        </x:is>
      </x:c>
      <x:c r="Z76" s="9" t="inlineStr">
        <x:is>
          <x:t xml:space="preserve">Yeso cartón RH</x:t>
        </x:is>
      </x:c>
      <x:c r="AA76" s="9" t="inlineStr">
        <x:is>
          <x:t xml:space="preserve">Dados de hormigón</x:t>
        </x:is>
      </x:c>
      <x:c r="AB76" s="15" t="n">
        <x:v>6</x:v>
      </x:c>
      <x:c r="AC76" s="15" t="n">
        <x:v>10</x:v>
      </x:c>
      <x:c r="AD76" s="9" t="inlineStr">
        <x:is>
          <x:t xml:space="preserve">Segunda vivienda</x:t>
        </x:is>
      </x:c>
      <x:c r="AE76" s="9" t="inlineStr">
        <x:is>
          <x:t xml:space="preserve">Centro templado</x:t>
        </x:is>
      </x:c>
      <x:c r="AF76" s="10" t="inlineStr">
        <x:is>
          <x:t xml:space="preserve">Criterios de prefabricación modular y coordinación BIM (referencial)</x:t>
        </x:is>
      </x:c>
      <x:c r="AG76" s="10" t="inlineStr">
        <x:is>
          <x:t xml:space="preserve">https://modul.cl/construccion-de-casas-prefabricadas-modulares/ | https://tecnofasthome.cl/casas-modulares/</x:t>
        </x:is>
      </x:c>
      <x:c r="AH76" s="10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160 mm; ventanas Aluminio termopanel; revestimiento exterior Madera tratada; interior Melamina blanca; fundación sugerida Radier.</x:t>
        </x:is>
      </x:c>
    </x:row>
    <x:row r="77" ht="32" customHeight="1">
      <x:c r="A77" s="9" t="inlineStr">
        <x:is>
          <x:t xml:space="preserve">MOD-0076</x:t>
        </x:is>
      </x:c>
      <x:c r="B77" s="9" t="inlineStr">
        <x:is>
          <x:t xml:space="preserve">EMP-016</x:t>
        </x:is>
      </x:c>
      <x:c r="C77" s="9" t="inlineStr">
        <x:is>
          <x:t xml:space="preserve">Curicó 66</x:t>
        </x:is>
      </x:c>
      <x:c r="D77" s="9" t="inlineStr">
        <x:is>
          <x:t xml:space="preserve">Curicó</x:t>
        </x:is>
      </x:c>
      <x:c r="E77" s="9" t="inlineStr">
        <x:is>
          <x:t xml:space="preserve">Ciudad</x:t>
        </x:is>
      </x:c>
      <x:c r="F77" s="9" t="inlineStr">
        <x:is>
          <x:t xml:space="preserve">Sí</x:t>
        </x:is>
      </x:c>
      <x:c r="G77" s="9" t="inlineStr">
        <x:is>
          <x:t xml:space="preserve">SIP</x:t>
        </x:is>
      </x:c>
      <x:c r="H77" s="15" t="n">
        <x:v>66</x:v>
      </x:c>
      <x:c r="I77" s="9" t="n">
        <x:v>2</x:v>
      </x:c>
      <x:c r="J77" s="9" t="n">
        <x:v>2</x:v>
      </x:c>
      <x:c r="K77" s="9" t="n">
        <x:v>1</x:v>
      </x:c>
      <x:c r="L77" s="9" t="n">
        <x:v>2</x:v>
      </x:c>
      <x:c r="M77" s="12" t="n">
        <x:v>2.5</x:v>
      </x:c>
      <x:c r="N77" s="9" t="inlineStr">
        <x:is>
          <x:t xml:space="preserve">Panel SIP estructural con uniones en pino seco</x:t>
        </x:is>
      </x:c>
      <x:c r="O77" s="10" t="inlineStr">
        <x:is>
          <x:t xml:space="preserve">2 placas OSB estructural + núcleo EPS alta densidad</x:t>
        </x:is>
      </x:c>
      <x:c r="P77" s="15" t="n">
        <x:v>114</x:v>
      </x:c>
      <x:c r="Q77" s="9" t="inlineStr">
        <x:is>
          <x:t xml:space="preserve">EPS alta densidad 15 kg/m³</x:t>
        </x:is>
      </x:c>
      <x:c r="R77" s="15" t="n">
        <x:v>53</x:v>
      </x:c>
      <x:c r="S77" s="10" t="inlineStr">
        <x:is>
          <x:t xml:space="preserve">Panel SIP de cubierta + membrana hidrófuga + hojalatería</x:t>
        </x:is>
      </x:c>
      <x:c r="T77" s="15" t="n">
        <x:v>114</x:v>
      </x:c>
      <x:c r="U77" s="10" t="inlineStr">
        <x:is>
          <x:t xml:space="preserve">EPS integrado + sellos PU</x:t>
        </x:is>
      </x:c>
      <x:c r="V77" s="9" t="inlineStr">
        <x:is>
          <x:t xml:space="preserve">Base entramado madera o radier con barrera de humedad</x:t>
        </x:is>
      </x:c>
      <x:c r="W77" s="10" t="inlineStr">
        <x:is>
          <x:t xml:space="preserve">Aislación bajo piso PET o lana mineral 50-100 mm</x:t>
        </x:is>
      </x:c>
      <x:c r="X77" s="9" t="inlineStr">
        <x:is>
          <x:t xml:space="preserve">PVC DVH</x:t>
        </x:is>
      </x:c>
      <x:c r="Y77" s="9" t="inlineStr">
        <x:is>
          <x:t xml:space="preserve">Plancha metálica prepintada</x:t>
        </x:is>
      </x:c>
      <x:c r="Z77" s="9" t="inlineStr">
        <x:is>
          <x:t xml:space="preserve">OSB sellado y pintado</x:t>
        </x:is>
      </x:c>
      <x:c r="AA77" s="9" t="inlineStr">
        <x:is>
          <x:t xml:space="preserve">Pilotes metálicos</x:t>
        </x:is>
      </x:c>
      <x:c r="AB77" s="15" t="n">
        <x:v>7</x:v>
      </x:c>
      <x:c r="AC77" s="15" t="n">
        <x:v>10</x:v>
      </x:c>
      <x:c r="AD77" s="9" t="inlineStr">
        <x:is>
          <x:t xml:space="preserve">Loteo habitacional</x:t>
        </x:is>
      </x:c>
      <x:c r="AE77" s="9" t="inlineStr">
        <x:is>
          <x:t xml:space="preserve">Centro templado</x:t>
        </x:is>
      </x:c>
      <x:c r="AF77" s="10" t="inlineStr">
        <x:is>
          <x:t xml:space="preserve">NCh3393:2016 (referencial para paneles SIP)</x:t>
        </x:is>
      </x:c>
      <x:c r="AG7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7" s="10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114 mm; ventanas PVC DVH; revestimiento exterior Smart Panel; interior Yeso cartón pintado; fundación sugerida Radier afinado.</x:t>
        </x:is>
      </x:c>
    </x:row>
    <x:row r="78" ht="32" customHeight="1">
      <x:c r="A78" s="9" t="inlineStr">
        <x:is>
          <x:t xml:space="preserve">MOD-0077</x:t>
        </x:is>
      </x:c>
      <x:c r="B78" s="9" t="inlineStr">
        <x:is>
          <x:t xml:space="preserve">EMP-016</x:t>
        </x:is>
      </x:c>
      <x:c r="C78" s="9" t="inlineStr">
        <x:is>
          <x:t xml:space="preserve">Talca 88</x:t>
        </x:is>
      </x:c>
      <x:c r="D78" s="9" t="inlineStr">
        <x:is>
          <x:t xml:space="preserve">Talca</x:t>
        </x:is>
      </x:c>
      <x:c r="E78" s="9" t="inlineStr">
        <x:is>
          <x:t xml:space="preserve">Río</x:t>
        </x:is>
      </x:c>
      <x:c r="F78" s="9" t="inlineStr">
        <x:is>
          <x:t xml:space="preserve">Sí</x:t>
        </x:is>
      </x:c>
      <x:c r="G78" s="9" t="inlineStr">
        <x:is>
          <x:t xml:space="preserve">SIP</x:t>
        </x:is>
      </x:c>
      <x:c r="H78" s="15" t="n">
        <x:v>88</x:v>
      </x:c>
      <x:c r="I78" s="9" t="n">
        <x:v>3</x:v>
      </x:c>
      <x:c r="J78" s="9" t="n">
        <x:v>2</x:v>
      </x:c>
      <x:c r="K78" s="9" t="n">
        <x:v>1</x:v>
      </x:c>
      <x:c r="L78" s="9" t="n">
        <x:v>3</x:v>
      </x:c>
      <x:c r="M78" s="12" t="n">
        <x:v>2.35</x:v>
      </x:c>
      <x:c r="N78" s="9" t="inlineStr">
        <x:is>
          <x:t xml:space="preserve">Panel SIP estructural OSB/EPS/OSB</x:t>
        </x:is>
      </x:c>
      <x:c r="O78" s="10" t="inlineStr">
        <x:is>
          <x:t xml:space="preserve">2 placas OSB estructural + núcleo EPS alta densidad</x:t>
        </x:is>
      </x:c>
      <x:c r="P78" s="15" t="n">
        <x:v>90</x:v>
      </x:c>
      <x:c r="Q78" s="9" t="inlineStr">
        <x:is>
          <x:t xml:space="preserve">EPS alta densidad 15 kg/m³</x:t>
        </x:is>
      </x:c>
      <x:c r="R78" s="15" t="n">
        <x:v>92</x:v>
      </x:c>
      <x:c r="S78" s="10" t="inlineStr">
        <x:is>
          <x:t xml:space="preserve">Panel SIP de cubierta + membrana hidrófuga + hojalatería</x:t>
        </x:is>
      </x:c>
      <x:c r="T78" s="15" t="n">
        <x:v>114</x:v>
      </x:c>
      <x:c r="U78" s="10" t="inlineStr">
        <x:is>
          <x:t xml:space="preserve">EPS integrado + sellos PU</x:t>
        </x:is>
      </x:c>
      <x:c r="V78" s="9" t="inlineStr">
        <x:is>
          <x:t xml:space="preserve">Base entramado madera o radier con barrera de humedad</x:t>
        </x:is>
      </x:c>
      <x:c r="W78" s="10" t="inlineStr">
        <x:is>
          <x:t xml:space="preserve">Aislación bajo piso PET o lana mineral 50-100 mm</x:t>
        </x:is>
      </x:c>
      <x:c r="X78" s="9" t="inlineStr">
        <x:is>
          <x:t xml:space="preserve">Aluminio con termopanel</x:t>
        </x:is>
      </x:c>
      <x:c r="Y78" s="9" t="inlineStr">
        <x:is>
          <x:t xml:space="preserve">Siding fibrocemento</x:t>
        </x:is>
      </x:c>
      <x:c r="Z78" s="9" t="inlineStr">
        <x:is>
          <x:t xml:space="preserve">OSB sellado y pintado</x:t>
        </x:is>
      </x:c>
      <x:c r="AA78" s="9" t="inlineStr">
        <x:is>
          <x:t xml:space="preserve">Radier afinado</x:t>
        </x:is>
      </x:c>
      <x:c r="AB78" s="15" t="n">
        <x:v>3</x:v>
      </x:c>
      <x:c r="AC78" s="15" t="n">
        <x:v>4</x:v>
      </x:c>
      <x:c r="AD78" s="9" t="inlineStr">
        <x:is>
          <x:t xml:space="preserve">Loteo habitacional</x:t>
        </x:is>
      </x:c>
      <x:c r="AE78" s="9" t="inlineStr">
        <x:is>
          <x:t xml:space="preserve">Centro templado</x:t>
        </x:is>
      </x:c>
      <x:c r="AF78" s="10" t="inlineStr">
        <x:is>
          <x:t xml:space="preserve">NCh3393:2016 (referencial para paneles SIP)</x:t>
        </x:is>
      </x:c>
      <x:c r="AG78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8" s="10" t="inlineStr">
        <x:is>
          <x:t xml:space="preserve">Estructura: Panel SIP estructural con uniones en pino seco; muros 2 placas OSB estructural + núcleo EPS alta densidad de 90 mm con aislación EPS alta densidad 15 kg/m³ (92 mm); cubierta Panel SIP de cubierta + membrana hidrófuga + hojalatería de 114 mm; ventanas PVC DVH; revestimiento exterior Siding fibrocemento; interior OSB sellado y pintado; fundación sugerida Pilotes metálicos.</x:t>
        </x:is>
      </x:c>
    </x:row>
    <x:row r="79" ht="32" customHeight="1">
      <x:c r="A79" s="9" t="inlineStr">
        <x:is>
          <x:t xml:space="preserve">MOD-0078</x:t>
        </x:is>
      </x:c>
      <x:c r="B79" s="9" t="inlineStr">
        <x:is>
          <x:t xml:space="preserve">EMP-016</x:t>
        </x:is>
      </x:c>
      <x:c r="C79" s="9" t="inlineStr">
        <x:is>
          <x:t xml:space="preserve">Chillán 96</x:t>
        </x:is>
      </x:c>
      <x:c r="D79" s="9" t="inlineStr">
        <x:is>
          <x:t xml:space="preserve">Chillán</x:t>
        </x:is>
      </x:c>
      <x:c r="E79" s="9" t="inlineStr">
        <x:is>
          <x:t xml:space="preserve">Volcán</x:t>
        </x:is>
      </x:c>
      <x:c r="F79" s="9" t="inlineStr">
        <x:is>
          <x:t xml:space="preserve">Sí</x:t>
        </x:is>
      </x:c>
      <x:c r="G79" s="9" t="inlineStr">
        <x:is>
          <x:t xml:space="preserve">MODULAR_TIMBER</x:t>
        </x:is>
      </x:c>
      <x:c r="H79" s="15" t="n">
        <x:v>96</x:v>
      </x:c>
      <x:c r="I79" s="9" t="n">
        <x:v>3</x:v>
      </x:c>
      <x:c r="J79" s="9" t="n">
        <x:v>2</x:v>
      </x:c>
      <x:c r="K79" s="9" t="n">
        <x:v>1</x:v>
      </x:c>
      <x:c r="L79" s="9" t="n">
        <x:v>3</x:v>
      </x:c>
      <x:c r="M79" s="12" t="n">
        <x:v>2.45</x:v>
      </x:c>
      <x:c r="N79" s="9" t="inlineStr">
        <x:is>
          <x:t xml:space="preserve">Entramado ligero en pino impregnado</x:t>
        </x:is>
      </x:c>
      <x:c r="O79" s="10" t="inlineStr">
        <x:is>
          <x:t xml:space="preserve">Madera estructural + OSB / terciado + barrera hidrófuga</x:t>
        </x:is>
      </x:c>
      <x:c r="P79" s="15" t="n">
        <x:v>100</x:v>
      </x:c>
      <x:c r="Q79" s="9" t="inlineStr">
        <x:is>
          <x:t xml:space="preserve">Lana mineral / lana de vidrio / PET reciclado</x:t>
        </x:is>
      </x:c>
      <x:c r="R79" s="15" t="n">
        <x:v>80</x:v>
      </x:c>
      <x:c r="S79" s="10" t="inlineStr">
        <x:is>
          <x:t xml:space="preserve">Cercha de madera + cubierta metálica o tejuela asfáltica</x:t>
        </x:is>
      </x:c>
      <x:c r="T79" s="15" t="n">
        <x:v>120</x:v>
      </x:c>
      <x:c r="U79" s="10" t="inlineStr">
        <x:is>
          <x:t xml:space="preserve">Lana mineral 80-140 mm + membrana</x:t>
        </x:is>
      </x:c>
      <x:c r="V79" s="9" t="inlineStr">
        <x:is>
          <x:t xml:space="preserve">Plataforma de madera estructural o radier</x:t>
        </x:is>
      </x:c>
      <x:c r="W79" s="10" t="inlineStr">
        <x:is>
          <x:t xml:space="preserve">Lana mineral 50-100 mm / barrera humedad</x:t>
        </x:is>
      </x:c>
      <x:c r="X79" s="9" t="inlineStr">
        <x:is>
          <x:t xml:space="preserve">Aluminio termopanel</x:t>
        </x:is>
      </x:c>
      <x:c r="Y79" s="9" t="inlineStr">
        <x:is>
          <x:t xml:space="preserve">Smart Panel</x:t>
        </x:is>
      </x:c>
      <x:c r="Z79" s="9" t="inlineStr">
        <x:is>
          <x:t xml:space="preserve">Terciado pintado</x:t>
        </x:is>
      </x:c>
      <x:c r="AA79" s="9" t="inlineStr">
        <x:is>
          <x:t xml:space="preserve">Radier</x:t>
        </x:is>
      </x:c>
      <x:c r="AB79" s="15" t="n">
        <x:v>5</x:v>
      </x:c>
      <x:c r="AC79" s="15" t="n">
        <x:v>15</x:v>
      </x:c>
      <x:c r="AD79" s="9" t="inlineStr">
        <x:is>
          <x:t xml:space="preserve">Segunda vivienda</x:t>
        </x:is>
      </x:c>
      <x:c r="AE79" s="9" t="inlineStr">
        <x:is>
          <x:t xml:space="preserve">Centro templado</x:t>
        </x:is>
      </x:c>
      <x:c r="AF79" s="10" t="inlineStr">
        <x:is>
          <x:t xml:space="preserve">Especificaciones técnicas de vivienda industrializada en madera (referencial)</x:t>
        </x:is>
      </x:c>
      <x:c r="AG79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79" s="10" t="inlineStr">
        <x:is>
          <x:t xml:space="preserve">Estructura: Wood frame modular; muros Madera estructural + OSB / terciado + barrera hidrófuga de 100 mm con aislación Lana mineral / lana de vidrio / PET reciclado (80 mm); cubierta Cercha de madera + cubierta metálica o tejuela asfáltica de 120 mm; ventanas PVC termopanel; revestimiento exterior Madera tratada; interior Terciado pintado; fundación sugerida Fundación corrida.</x:t>
        </x:is>
      </x:c>
    </x:row>
    <x:row r="80" ht="32" customHeight="1">
      <x:c r="A80" s="9" t="inlineStr">
        <x:is>
          <x:t xml:space="preserve">MOD-0079</x:t>
        </x:is>
      </x:c>
      <x:c r="B80" s="9" t="inlineStr">
        <x:is>
          <x:t xml:space="preserve">EMP-016</x:t>
        </x:is>
      </x:c>
      <x:c r="C80" s="9" t="inlineStr">
        <x:is>
          <x:t xml:space="preserve">Concepción 156</x:t>
        </x:is>
      </x:c>
      <x:c r="D80" s="9" t="inlineStr">
        <x:is>
          <x:t xml:space="preserve">Concepción</x:t>
        </x:is>
      </x:c>
      <x:c r="E80" s="9" t="inlineStr">
        <x:is>
          <x:t xml:space="preserve">Archipiélago</x:t>
        </x:is>
      </x:c>
      <x:c r="F80" s="9" t="inlineStr">
        <x:is>
          <x:t xml:space="preserve">Sí</x:t>
        </x:is>
      </x:c>
      <x:c r="G80" s="9" t="inlineStr">
        <x:is>
          <x:t xml:space="preserve">STEEL_FRAME</x:t>
        </x:is>
      </x:c>
      <x:c r="H80" s="15" t="n">
        <x:v>156</x:v>
      </x:c>
      <x:c r="I80" s="9" t="n">
        <x:v>4</x:v>
      </x:c>
      <x:c r="J80" s="9" t="n">
        <x:v>3</x:v>
      </x:c>
      <x:c r="K80" s="9" t="n">
        <x:v>2</x:v>
      </x:c>
      <x:c r="L80" s="9" t="n">
        <x:v>4</x:v>
      </x:c>
      <x:c r="M80" s="12" t="n">
        <x:v>2.5</x:v>
      </x:c>
      <x:c r="N80" s="9" t="inlineStr">
        <x:is>
          <x:t xml:space="preserve">Panelizado steel frame industrializado</x:t>
        </x:is>
      </x:c>
      <x:c r="O80" s="10" t="inlineStr">
        <x:is>
          <x:t xml:space="preserve">Acero galvanizado + placa OSB/fibrocemento + cámara técnica</x:t>
        </x:is>
      </x:c>
      <x:c r="P80" s="15" t="n">
        <x:v>140</x:v>
      </x:c>
      <x:c r="Q80" s="9" t="inlineStr">
        <x:is>
          <x:t xml:space="preserve">Lana mineral o lana de roca / PET / EPS según zona térmica</x:t>
        </x:is>
      </x:c>
      <x:c r="R80" s="15" t="n">
        <x:v>60</x:v>
      </x:c>
      <x:c r="S80" s="10" t="inlineStr">
        <x:is>
          <x:t xml:space="preserve">Cerchas o paneles steel frame + cubierta metálica</x:t>
        </x:is>
      </x:c>
      <x:c r="T80" s="15" t="n">
        <x:v>180</x:v>
      </x:c>
      <x:c r="U80" s="10" t="inlineStr">
        <x:is>
          <x:t xml:space="preserve">Lana mineral / lana de roca + barrera de vapor</x:t>
        </x:is>
      </x:c>
      <x:c r="V80" s="9" t="inlineStr">
        <x:is>
          <x:t xml:space="preserve">Envigado metálico o plataforma estructural</x:t>
        </x:is>
      </x:c>
      <x:c r="W80" s="10" t="inlineStr">
        <x:is>
          <x:t xml:space="preserve">Lana mineral 50-100 mm + placas estructurales</x:t>
        </x:is>
      </x:c>
      <x:c r="X80" s="9" t="inlineStr">
        <x:is>
          <x:t xml:space="preserve">Aluminio RPT termopanel</x:t>
        </x:is>
      </x:c>
      <x:c r="Y80" s="9" t="inlineStr">
        <x:is>
          <x:t xml:space="preserve">Plancha metálica</x:t>
        </x:is>
      </x:c>
      <x:c r="Z80" s="9" t="inlineStr">
        <x:is>
          <x:t xml:space="preserve">Yeso cartón</x:t>
        </x:is>
      </x:c>
      <x:c r="AA80" s="9" t="inlineStr">
        <x:is>
          <x:t xml:space="preserve">Pilotes</x:t>
        </x:is>
      </x:c>
      <x:c r="AB80" s="15" t="n">
        <x:v>8</x:v>
      </x:c>
      <x:c r="AC80" s="15" t="n">
        <x:v>8</x:v>
      </x:c>
      <x:c r="AD80" s="9" t="inlineStr">
        <x:is>
          <x:t xml:space="preserve">Loteo habitacional</x:t>
        </x:is>
      </x:c>
      <x:c r="AE80" s="9" t="inlineStr">
        <x:is>
          <x:t xml:space="preserve">Centro templado</x:t>
        </x:is>
      </x:c>
      <x:c r="AF80" s="10" t="inlineStr">
        <x:is>
          <x:t xml:space="preserve">Criterio térmico referencial OGUC / reglamentación térmica vigente</x:t>
        </x:is>
      </x:c>
      <x:c r="AG80" s="10" t="inlineStr">
        <x:is>
          <x:t xml:space="preserve">https://www.steelframe.cl/ | https://vhaceros.cl/blog/steel-framing-principios-estructurales-y-ventajas-en-la-construccion-chilena/</x:t>
        </x:is>
      </x:c>
      <x:c r="AH80" s="10" t="inlineStr">
        <x:is>
          <x:t xml:space="preserve">Estructura: Panelizado steel frame industrializado; muros Acero galvanizado + placa OSB/fibrocemento + cámara técnica de 140 mm con aislación Lana mineral o lana de roca / PET / EPS según zona térmica (60 mm); cubierta Cerchas o paneles steel frame + cubierta metálica de 180 mm; ventanas Aluminio RPT termopanel; revestimiento exterior Siding fibrocemento; interior Yeso cartón RF; fundación sugerida Vigas de fundación y radier.</x:t>
        </x:is>
      </x:c>
    </x:row>
    <x:row r="81" ht="32" customHeight="1">
      <x:c r="A81" s="9" t="inlineStr">
        <x:is>
          <x:t xml:space="preserve">MOD-0080</x:t>
        </x:is>
      </x:c>
      <x:c r="B81" s="9" t="inlineStr">
        <x:is>
          <x:t xml:space="preserve">EMP-016</x:t>
        </x:is>
      </x:c>
      <x:c r="C81" s="9" t="inlineStr">
        <x:is>
          <x:t xml:space="preserve">Quillota 176</x:t>
        </x:is>
      </x:c>
      <x:c r="D81" s="9" t="inlineStr">
        <x:is>
          <x:t xml:space="preserve">Quillota</x:t>
        </x:is>
      </x:c>
      <x:c r="E81" s="9" t="inlineStr">
        <x:is>
          <x:t xml:space="preserve">Volcán</x:t>
        </x:is>
      </x:c>
      <x:c r="F81" s="9" t="inlineStr">
        <x:is>
          <x:t xml:space="preserve">Sí</x:t>
        </x:is>
      </x:c>
      <x:c r="G81" s="9" t="inlineStr">
        <x:is>
          <x:t xml:space="preserve">HYBRID_MODULAR</x:t>
        </x:is>
      </x:c>
      <x:c r="H81" s="15" t="n">
        <x:v>176</x:v>
      </x:c>
      <x:c r="I81" s="9" t="n">
        <x:v>4</x:v>
      </x:c>
      <x:c r="J81" s="9" t="n">
        <x:v>3</x:v>
      </x:c>
      <x:c r="K81" s="9" t="n">
        <x:v>2</x:v>
      </x:c>
      <x:c r="L81" s="9" t="n">
        <x:v>4</x:v>
      </x:c>
      <x:c r="M81" s="12" t="n">
        <x:v>2.4</x:v>
      </x:c>
      <x:c r="N81" s="9" t="inlineStr">
        <x:is>
          <x:t xml:space="preserve">Estructura híbrida acero-madera panelizada</x:t>
        </x:is>
      </x:c>
      <x:c r="O81" s="10" t="inlineStr">
        <x:is>
          <x:t xml:space="preserve">Acero galvanizado o madera laminada + panel SIP MgO/OSB</x:t>
        </x:is>
      </x:c>
      <x:c r="P81" s="15" t="n">
        <x:v>120</x:v>
      </x:c>
      <x:c r="Q81" s="9" t="inlineStr">
        <x:is>
          <x:t xml:space="preserve">Lana mineral 75-100 mm o EPS integrado</x:t>
        </x:is>
      </x:c>
      <x:c r="R81" s="15" t="n">
        <x:v>75</x:v>
      </x:c>
      <x:c r="S81" s="10" t="inlineStr">
        <x:is>
          <x:t xml:space="preserve">Módulo volumétrico con cubierta panelizada</x:t>
        </x:is>
      </x:c>
      <x:c r="T81" s="15" t="n">
        <x:v>160</x:v>
      </x:c>
      <x:c r="U81" s="10" t="inlineStr">
        <x:is>
          <x:t xml:space="preserve">Lana mineral / EPS / barrera vapor</x:t>
        </x:is>
      </x:c>
      <x:c r="V81" s="9" t="inlineStr">
        <x:is>
          <x:t xml:space="preserve">Bastidor metálico o madera laminada</x:t>
        </x:is>
      </x:c>
      <x:c r="W81" s="10" t="inlineStr">
        <x:is>
          <x:t xml:space="preserve">Lana mineral 80-100 mm + fibrocemento</x:t>
        </x:is>
      </x:c>
      <x:c r="X81" s="9" t="inlineStr">
        <x:is>
          <x:t xml:space="preserve">PVC termopanel</x:t>
        </x:is>
      </x:c>
      <x:c r="Y81" s="9" t="inlineStr">
        <x:is>
          <x:t xml:space="preserve">Madera tratada</x:t>
        </x:is>
      </x:c>
      <x:c r="Z81" s="9" t="inlineStr">
        <x:is>
          <x:t xml:space="preserve">Yeso cartón pintado</x:t>
        </x:is>
      </x:c>
      <x:c r="AA81" s="9" t="inlineStr">
        <x:is>
          <x:t xml:space="preserve">Radier</x:t>
        </x:is>
      </x:c>
      <x:c r="AB81" s="15" t="n">
        <x:v>10</x:v>
      </x:c>
      <x:c r="AC81" s="15" t="n">
        <x:v>5</x:v>
      </x:c>
      <x:c r="AD81" s="9" t="inlineStr">
        <x:is>
          <x:t xml:space="preserve">Turismo / arriendo</x:t>
        </x:is>
      </x:c>
      <x:c r="AE81" s="9" t="inlineStr">
        <x:is>
          <x:t xml:space="preserve">Centro templado</x:t>
        </x:is>
      </x:c>
      <x:c r="AF81" s="10" t="inlineStr">
        <x:is>
          <x:t xml:space="preserve">Criterios de prefabricación modular y coordinación BIM (referencial)</x:t>
        </x:is>
      </x:c>
      <x:c r="AG81" s="10" t="inlineStr">
        <x:is>
          <x:t xml:space="preserve">https://modul.cl/construccion-de-casas-prefabricadas-modulares/ | https://tecnofasthome.cl/casas-modulares/</x:t>
        </x:is>
      </x:c>
      <x:c r="AH81" s="10" t="inlineStr">
        <x:is>
          <x:t xml:space="preserve">Estructura: Estructura híbrida acero-madera panelizada; muros Acero galvanizado o madera laminada + panel SIP MgO/OSB de 120 mm con aislación Lana mineral 75-100 mm o EPS integrado (75 mm); cubierta Módulo volumétrico con cubierta panelizada de 160 mm; ventanas PVC termopanel; revestimiento exterior Plancha metálica; interior Melamina blanca; fundación sugerida Radier.</x:t>
        </x:is>
      </x:c>
    </x:row>
    <x:row r="82" ht="32" customHeight="1">
      <x:c r="A82" s="9" t="inlineStr">
        <x:is>
          <x:t xml:space="preserve">MOD-0081</x:t>
        </x:is>
      </x:c>
      <x:c r="B82" s="9" t="inlineStr">
        <x:is>
          <x:t xml:space="preserve">EMP-017</x:t>
        </x:is>
      </x:c>
      <x:c r="C82" s="9" t="inlineStr">
        <x:is>
          <x:t xml:space="preserve">Ovalle 36</x:t>
        </x:is>
      </x:c>
      <x:c r="D82" s="9" t="inlineStr">
        <x:is>
          <x:t xml:space="preserve">Ovalle</x:t>
        </x:is>
      </x:c>
      <x:c r="E82" s="9" t="inlineStr">
        <x:is>
          <x:t xml:space="preserve">Lago</x:t>
        </x:is>
      </x:c>
      <x:c r="F82" s="9" t="inlineStr">
        <x:is>
          <x:t xml:space="preserve">Sí</x:t>
        </x:is>
      </x:c>
      <x:c r="G82" s="9" t="inlineStr">
        <x:is>
          <x:t xml:space="preserve">SIP</x:t>
        </x:is>
      </x:c>
      <x:c r="H82" s="15" t="n">
        <x:v>36</x:v>
      </x:c>
      <x:c r="I82" s="9" t="n">
        <x:v>1</x:v>
      </x:c>
      <x:c r="J82" s="9" t="n">
        <x:v>1</x:v>
      </x:c>
      <x:c r="K82" s="9" t="n">
        <x:v>1</x:v>
      </x:c>
      <x:c r="L82" s="9" t="n">
        <x:v>1</x:v>
      </x:c>
      <x:c r="M82" s="12" t="n">
        <x:v>2.4</x:v>
      </x:c>
      <x:c r="N82" s="9" t="inlineStr">
        <x:is>
          <x:t xml:space="preserve">Panel SIP estructural con uniones en pino seco</x:t>
        </x:is>
      </x:c>
      <x:c r="O82" s="10" t="inlineStr">
        <x:is>
          <x:t xml:space="preserve">2 placas OSB estructural + núcleo EPS alta densidad</x:t>
        </x:is>
      </x:c>
      <x:c r="P82" s="15" t="n">
        <x:v>130</x:v>
      </x:c>
      <x:c r="Q82" s="9" t="inlineStr">
        <x:is>
          <x:t xml:space="preserve">EPS alta densidad 15 kg/m³</x:t>
        </x:is>
      </x:c>
      <x:c r="R82" s="15" t="n">
        <x:v>92</x:v>
      </x:c>
      <x:c r="S82" s="10" t="inlineStr">
        <x:is>
          <x:t xml:space="preserve">Panel SIP de cubierta + membrana hidrófuga + hojalatería</x:t>
        </x:is>
      </x:c>
      <x:c r="T82" s="15" t="n">
        <x:v>114</x:v>
      </x:c>
      <x:c r="U82" s="10" t="inlineStr">
        <x:is>
          <x:t xml:space="preserve">EPS integrado + sellos PU</x:t>
        </x:is>
      </x:c>
      <x:c r="V82" s="9" t="inlineStr">
        <x:is>
          <x:t xml:space="preserve">Base entramado madera o radier con barrera de humedad</x:t>
        </x:is>
      </x:c>
      <x:c r="W82" s="10" t="inlineStr">
        <x:is>
          <x:t xml:space="preserve">Aislación bajo piso PET o lana mineral 50-100 mm</x:t>
        </x:is>
      </x:c>
      <x:c r="X82" s="9" t="inlineStr">
        <x:is>
          <x:t xml:space="preserve">PVC termopanel</x:t>
        </x:is>
      </x:c>
      <x:c r="Y82" s="9" t="inlineStr">
        <x:is>
          <x:t xml:space="preserve">Madera tratada</x:t>
        </x:is>
      </x:c>
      <x:c r="Z82" s="9" t="inlineStr">
        <x:is>
          <x:t xml:space="preserve">MDF en zonas secas</x:t>
        </x:is>
      </x:c>
      <x:c r="AA82" s="9" t="inlineStr">
        <x:is>
          <x:t xml:space="preserve">Radier afinado</x:t>
        </x:is>
      </x:c>
      <x:c r="AB82" s="15" t="n">
        <x:v>7</x:v>
      </x:c>
      <x:c r="AC82" s="15" t="n">
        <x:v>7</x:v>
      </x:c>
      <x:c r="AD82" s="9" t="inlineStr">
        <x:is>
          <x:t xml:space="preserve">Segunda vivienda</x:t>
        </x:is>
      </x:c>
      <x:c r="AE82" s="9" t="inlineStr">
        <x:is>
          <x:t xml:space="preserve">Centro templado</x:t>
        </x:is>
      </x:c>
      <x:c r="AF82" s="10" t="inlineStr">
        <x:is>
          <x:t xml:space="preserve">NCh3393:2016 (referencial para paneles SIP)</x:t>
        </x:is>
      </x:c>
      <x:c r="AG8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82" s="10" t="inlineStr">
        <x:is>
          <x:t xml:space="preserve">Estructura: Panel SIP estructural OSB/EPS/OSB; muros 2 placas OSB estructural + núcleo EPS alta densidad de 130 mm con aislación EPS alta densidad 15 kg/m³ (92 mm); cubierta Panel SIP de cubierta + membrana hidrófuga + hojalatería de 114 mm; ventanas Aluminio con termopanel; revestimiento exterior Plancha metálica prepintada; interior Yeso cartón pintado; fundación sugerida Radier afinado.</x:t>
        </x:is>
      </x:c>
    </x:row>
    <x:row r="83" ht="32" customHeight="1">
      <x:c r="A83" s="9" t="inlineStr">
        <x:is>
          <x:t xml:space="preserve">MOD-0082</x:t>
        </x:is>
      </x:c>
      <x:c r="B83" s="9" t="inlineStr">
        <x:is>
          <x:t xml:space="preserve">EMP-017</x:t>
        </x:is>
      </x:c>
      <x:c r="C83" s="9" t="inlineStr">
        <x:is>
          <x:t xml:space="preserve">Calama 80</x:t>
        </x:is>
      </x:c>
      <x:c r="D83" s="9" t="inlineStr">
        <x:is>
          <x:t xml:space="preserve">Calama</x:t>
        </x:is>
      </x:c>
      <x:c r="E83" s="9" t="inlineStr">
        <x:is>
          <x:t xml:space="preserve">Comuna</x:t>
        </x:is>
      </x:c>
      <x:c r="F83" s="9" t="inlineStr">
        <x:is>
          <x:t xml:space="preserve">Sí</x:t>
        </x:is>
      </x:c>
      <x:c r="G83" s="9" t="inlineStr">
        <x:is>
          <x:t xml:space="preserve">STEEL_FRAME</x:t>
        </x:is>
      </x:c>
      <x:c r="H83" s="15" t="n">
        <x:v>80</x:v>
      </x:c>
      <x:c r="I83" s="9" t="n">
        <x:v>3</x:v>
      </x:c>
      <x:c r="J83" s="9" t="n">
        <x:v>2</x:v>
      </x:c>
      <x:c r="K83" s="9" t="n">
        <x:v>1</x:v>
      </x:c>
      <x:c r="L83" s="9" t="n">
        <x:v>2</x:v>
      </x:c>
      <x:c r="M83" s="12" t="n">
        <x:v>2.5</x:v>
      </x:c>
      <x:c r="N83" s="9" t="inlineStr">
        <x:is>
          <x:t xml:space="preserve">Panelizado steel frame industrializado</x:t>
        </x:is>
      </x:c>
      <x:c r="O83" s="10" t="inlineStr">
        <x:is>
          <x:t xml:space="preserve">Acero galvanizado + placa OSB/fibrocemento + cámara técnica</x:t>
        </x:is>
      </x:c>
      <x:c r="P83" s="15" t="n">
        <x:v>90</x:v>
      </x:c>
      <x:c r="Q83" s="9" t="inlineStr">
        <x:is>
          <x:t xml:space="preserve">Lana mineral o lana de roca / PET / EPS según zona térmica</x:t>
        </x:is>
      </x:c>
      <x:c r="R83" s="15" t="n">
        <x:v>100</x:v>
      </x:c>
      <x:c r="S83" s="10" t="inlineStr">
        <x:is>
          <x:t xml:space="preserve">Cerchas o paneles steel frame + cubierta metálica</x:t>
        </x:is>
      </x:c>
      <x:c r="T83" s="15" t="n">
        <x:v>120</x:v>
      </x:c>
      <x:c r="U83" s="10" t="inlineStr">
        <x:is>
          <x:t xml:space="preserve">Lana mineral / lana de roca + barrera de vapor</x:t>
        </x:is>
      </x:c>
      <x:c r="V83" s="9" t="inlineStr">
        <x:is>
          <x:t xml:space="preserve">Envigado metálico o plataforma estructural</x:t>
        </x:is>
      </x:c>
      <x:c r="W83" s="10" t="inlineStr">
        <x:is>
          <x:t xml:space="preserve">Lana mineral 50-100 mm + placas estructurales</x:t>
        </x:is>
      </x:c>
      <x:c r="X83" s="9" t="inlineStr">
        <x:is>
          <x:t xml:space="preserve">Aluminio RPT termopanel</x:t>
        </x:is>
      </x:c>
      <x:c r="Y83" s="9" t="inlineStr">
        <x:is>
          <x:t xml:space="preserve">Plancha metálica</x:t>
        </x:is>
      </x:c>
      <x:c r="Z83" s="9" t="inlineStr">
        <x:is>
          <x:t xml:space="preserve">Yeso cartón RF</x:t>
        </x:is>
      </x:c>
      <x:c r="AA83" s="9" t="inlineStr">
        <x:is>
          <x:t xml:space="preserve">Vigas de fundación y radier</x:t>
        </x:is>
      </x:c>
      <x:c r="AB83" s="15" t="n">
        <x:v>8</x:v>
      </x:c>
      <x:c r="AC83" s="15" t="n">
        <x:v>9</x:v>
      </x:c>
      <x:c r="AD83" s="9" t="inlineStr">
        <x:is>
          <x:t xml:space="preserve">Loteo habitacional</x:t>
        </x:is>
      </x:c>
      <x:c r="AE83" s="9" t="inlineStr">
        <x:is>
          <x:t xml:space="preserve">Centro templado</x:t>
        </x:is>
      </x:c>
      <x:c r="AF83" s="10" t="inlineStr">
        <x:is>
          <x:t xml:space="preserve">Criterio térmico referencial OGUC / reglamentación térmica vigente</x:t>
        </x:is>
      </x:c>
      <x:c r="AG83" s="10" t="inlineStr">
        <x:is>
          <x:t xml:space="preserve">https://www.steelframe.cl/ | https://vhaceros.cl/blog/steel-framing-principios-estructurales-y-ventajas-en-la-construccion-chilena/</x:t>
        </x:is>
      </x:c>
      <x:c r="AH83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(100 mm); cubierta Cerchas o paneles steel frame + cubierta metálica de 120 mm; ventanas PVC termopanel; revestimiento exterior Estuco sobre placa cementicia; interior Yeso cartón RF; fundación sugerida Pilotes.</x:t>
        </x:is>
      </x:c>
    </x:row>
    <x:row r="84" ht="32" customHeight="1">
      <x:c r="A84" s="9" t="inlineStr">
        <x:is>
          <x:t xml:space="preserve">MOD-0083</x:t>
        </x:is>
      </x:c>
      <x:c r="B84" s="9" t="inlineStr">
        <x:is>
          <x:t xml:space="preserve">EMP-017</x:t>
        </x:is>
      </x:c>
      <x:c r="C84" s="9" t="inlineStr">
        <x:is>
          <x:t xml:space="preserve">Iquique 96</x:t>
        </x:is>
      </x:c>
      <x:c r="D84" s="9" t="inlineStr">
        <x:is>
          <x:t xml:space="preserve">Iquique</x:t>
        </x:is>
      </x:c>
      <x:c r="E84" s="9" t="inlineStr">
        <x:is>
          <x:t xml:space="preserve">Río</x:t>
        </x:is>
      </x:c>
      <x:c r="F84" s="9" t="inlineStr">
        <x:is>
          <x:t xml:space="preserve">Sí</x:t>
        </x:is>
      </x:c>
      <x:c r="G84" s="9" t="inlineStr">
        <x:is>
          <x:t xml:space="preserve">SIP</x:t>
        </x:is>
      </x:c>
      <x:c r="H84" s="15" t="n">
        <x:v>96</x:v>
      </x:c>
      <x:c r="I84" s="9" t="n">
        <x:v>3</x:v>
      </x:c>
      <x:c r="J84" s="9" t="n">
        <x:v>2</x:v>
      </x:c>
      <x:c r="K84" s="9" t="n">
        <x:v>1</x:v>
      </x:c>
      <x:c r="L84" s="9" t="n">
        <x:v>3</x:v>
      </x:c>
      <x:c r="M84" s="12" t="n">
        <x:v>2.45</x:v>
      </x:c>
      <x:c r="N84" s="9" t="inlineStr">
        <x:is>
          <x:t xml:space="preserve">Panel SIP estructural con uniones en pino seco</x:t>
        </x:is>
      </x:c>
      <x:c r="O84" s="10" t="inlineStr">
        <x:is>
          <x:t xml:space="preserve">2 placas OSB estructural + núcleo EPS alta densidad</x:t>
        </x:is>
      </x:c>
      <x:c r="P84" s="15" t="n">
        <x:v>75</x:v>
      </x:c>
      <x:c r="Q84" s="9" t="inlineStr">
        <x:is>
          <x:t xml:space="preserve">EPS alta densidad 15 kg/m³</x:t>
        </x:is>
      </x:c>
      <x:c r="R84" s="15" t="n">
        <x:v>105</x:v>
      </x:c>
      <x:c r="S84" s="10" t="inlineStr">
        <x:is>
          <x:t xml:space="preserve">Panel SIP de cubierta + membrana hidrófuga + hojalatería</x:t>
        </x:is>
      </x:c>
      <x:c r="T84" s="15" t="n">
        <x:v>130</x:v>
      </x:c>
      <x:c r="U84" s="10" t="inlineStr">
        <x:is>
          <x:t xml:space="preserve">EPS integrado + sellos PU</x:t>
        </x:is>
      </x:c>
      <x:c r="V84" s="9" t="inlineStr">
        <x:is>
          <x:t xml:space="preserve">Base entramado madera o radier con barrera de humedad</x:t>
        </x:is>
      </x:c>
      <x:c r="W84" s="10" t="inlineStr">
        <x:is>
          <x:t xml:space="preserve">Aislación bajo piso PET o lana mineral 50-100 mm</x:t>
        </x:is>
      </x:c>
      <x:c r="X84" s="9" t="inlineStr">
        <x:is>
          <x:t xml:space="preserve">Aluminio con termopanel</x:t>
        </x:is>
      </x:c>
      <x:c r="Y84" s="9" t="inlineStr">
        <x:is>
          <x:t xml:space="preserve">Smart Panel</x:t>
        </x:is>
      </x:c>
      <x:c r="Z84" s="9" t="inlineStr">
        <x:is>
          <x:t xml:space="preserve">OSB sellado y pintado</x:t>
        </x:is>
      </x:c>
      <x:c r="AA84" s="9" t="inlineStr">
        <x:is>
          <x:t xml:space="preserve">Fundación corrida</x:t>
        </x:is>
      </x:c>
      <x:c r="AB84" s="15" t="n">
        <x:v>4</x:v>
      </x:c>
      <x:c r="AC84" s="15" t="n">
        <x:v>9</x:v>
      </x:c>
      <x:c r="AD84" s="9" t="inlineStr">
        <x:is>
          <x:t xml:space="preserve">Segunda vivienda</x:t>
        </x:is>
      </x:c>
      <x:c r="AE84" s="9" t="inlineStr">
        <x:is>
          <x:t xml:space="preserve">Centro templado</x:t>
        </x:is>
      </x:c>
      <x:c r="AF84" s="10" t="inlineStr">
        <x:is>
          <x:t xml:space="preserve">NCh3393:2016 (referencial para paneles SIP)</x:t>
        </x:is>
      </x:c>
      <x:c r="AG8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84" s="10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130 mm; ventanas Aluminio con termopanel; revestimiento exterior Siding fibrocemento; interior OSB sellado y pintado; fundación sugerida Pilotes metálicos.</x:t>
        </x:is>
      </x:c>
    </x:row>
    <x:row r="85" ht="32" customHeight="1">
      <x:c r="A85" s="9" t="inlineStr">
        <x:is>
          <x:t xml:space="preserve">MOD-0084</x:t>
        </x:is>
      </x:c>
      <x:c r="B85" s="9" t="inlineStr">
        <x:is>
          <x:t xml:space="preserve">EMP-017</x:t>
        </x:is>
      </x:c>
      <x:c r="C85" s="9" t="inlineStr">
        <x:is>
          <x:t xml:space="preserve">Arica 132</x:t>
        </x:is>
      </x:c>
      <x:c r="D85" s="9" t="inlineStr">
        <x:is>
          <x:t xml:space="preserve">Arica</x:t>
        </x:is>
      </x:c>
      <x:c r="E85" s="9" t="inlineStr">
        <x:is>
          <x:t xml:space="preserve">Valle</x:t>
        </x:is>
      </x:c>
      <x:c r="F85" s="9" t="inlineStr">
        <x:is>
          <x:t xml:space="preserve">Sí</x:t>
        </x:is>
      </x:c>
      <x:c r="G85" s="9" t="inlineStr">
        <x:is>
          <x:t xml:space="preserve">CONTAINER</x:t>
        </x:is>
      </x:c>
      <x:c r="H85" s="15" t="n">
        <x:v>132</x:v>
      </x:c>
      <x:c r="I85" s="9" t="n">
        <x:v>3</x:v>
      </x:c>
      <x:c r="J85" s="9" t="n">
        <x:v>2</x:v>
      </x:c>
      <x:c r="K85" s="9" t="n">
        <x:v>1</x:v>
      </x:c>
      <x:c r="L85" s="9" t="n">
        <x:v>3</x:v>
      </x:c>
      <x:c r="M85" s="12" t="n">
        <x:v>2.45</x:v>
      </x:c>
      <x:c r="N85" s="9" t="inlineStr">
        <x:is>
          <x:t xml:space="preserve">Contenedor marítimo acondicionado</x:t>
        </x:is>
      </x:c>
      <x:c r="O85" s="10" t="inlineStr">
        <x:is>
          <x:t xml:space="preserve">Estructura container + subestructura interior + revestimiento</x:t>
        </x:is>
      </x:c>
      <x:c r="P85" s="15" t="n">
        <x:v>90</x:v>
      </x:c>
      <x:c r="Q85" s="9" t="inlineStr">
        <x:is>
          <x:t xml:space="preserve">Poliuretano proyectado o EPS/Aislapol 40-60 mm</x:t>
        </x:is>
      </x:c>
      <x:c r="R85" s="15" t="n">
        <x:v>50</x:v>
      </x:c>
      <x:c r="S85" s="10" t="inlineStr">
        <x:is>
          <x:t xml:space="preserve">Cubierta metálica container + sobretecho ventilado opcional</x:t>
        </x:is>
      </x:c>
      <x:c r="T85" s="15" t="n">
        <x:v>120</x:v>
      </x:c>
      <x:c r="U85" s="10" t="inlineStr">
        <x:is>
          <x:t xml:space="preserve">Poliuretano / EPS + barrera anticondensación</x:t>
        </x:is>
      </x:c>
      <x:c r="V85" s="9" t="inlineStr">
        <x:is>
          <x:t xml:space="preserve">Piso terciado 18 mm o base original acondicionada + vinílico</x:t>
        </x:is>
      </x:c>
      <x:c r="W85" s="10" t="inlineStr">
        <x:is>
          <x:t xml:space="preserve">Aislación bajo piso 40-80 mm</x:t>
        </x:is>
      </x:c>
      <x:c r="X85" s="9" t="inlineStr">
        <x:is>
          <x:t xml:space="preserve">Aluminio termopanel</x:t>
        </x:is>
      </x:c>
      <x:c r="Y85" s="9" t="inlineStr">
        <x:is>
          <x:t xml:space="preserve">Plancha metálica prepintada</x:t>
        </x:is>
      </x:c>
      <x:c r="Z85" s="9" t="inlineStr">
        <x:is>
          <x:t xml:space="preserve">Madera pintada</x:t>
        </x:is>
      </x:c>
      <x:c r="AA85" s="9" t="inlineStr">
        <x:is>
          <x:t xml:space="preserve">Pilotes metálicos</x:t>
        </x:is>
      </x:c>
      <x:c r="AB85" s="15" t="n">
        <x:v>5</x:v>
      </x:c>
      <x:c r="AC85" s="15" t="n">
        <x:v>4</x:v>
      </x:c>
      <x:c r="AD85" s="9" t="inlineStr">
        <x:is>
          <x:t xml:space="preserve">Segunda vivienda</x:t>
        </x:is>
      </x:c>
      <x:c r="AE85" s="9" t="inlineStr">
        <x:is>
          <x:t xml:space="preserve">Centro templado</x:t>
        </x:is>
      </x:c>
      <x:c r="AF85" s="10" t="inlineStr">
        <x:is>
          <x:t xml:space="preserve">Criterios de aislación, ventilación y tratamiento anticorrosivo (referencial)</x:t>
        </x:is>
      </x:c>
      <x:c r="AG85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85" s="10" t="inlineStr">
        <x:is>
          <x:t xml:space="preserve">Estructura: Módulo habitacional de acero galvanizado / corten; muros Estructura container + subestructura interior + revestimiento de 90 mm con aislación Poliuretano proyectado o EPS/Aislapol 40-60 mm (50 mm); cubierta Cubierta metálica container + sobretecho ventilado opcional de 120 mm; ventanas PVC termopanel; revestimiento exterior Madera tratada ventilada; interior Melamina; fundación sugerida Radier.</x:t>
        </x:is>
      </x:c>
    </x:row>
    <x:row r="86" ht="32" customHeight="1">
      <x:c r="A86" s="9" t="inlineStr">
        <x:is>
          <x:t xml:space="preserve">MOD-0085</x:t>
        </x:is>
      </x:c>
      <x:c r="B86" s="9" t="inlineStr">
        <x:is>
          <x:t xml:space="preserve">EMP-017</x:t>
        </x:is>
      </x:c>
      <x:c r="C86" s="9" t="inlineStr">
        <x:is>
          <x:t xml:space="preserve">Copiapó 210</x:t>
        </x:is>
      </x:c>
      <x:c r="D86" s="9" t="inlineStr">
        <x:is>
          <x:t xml:space="preserve">Copiapó</x:t>
        </x:is>
      </x:c>
      <x:c r="E86" s="9" t="inlineStr">
        <x:is>
          <x:t xml:space="preserve">Río</x:t>
        </x:is>
      </x:c>
      <x:c r="F86" s="9" t="inlineStr">
        <x:is>
          <x:t xml:space="preserve">Sí</x:t>
        </x:is>
      </x:c>
      <x:c r="G86" s="9" t="inlineStr">
        <x:is>
          <x:t xml:space="preserve">HYBRID_MODULAR</x:t>
        </x:is>
      </x:c>
      <x:c r="H86" s="15" t="n">
        <x:v>210</x:v>
      </x:c>
      <x:c r="I86" s="9" t="n">
        <x:v>4</x:v>
      </x:c>
      <x:c r="J86" s="9" t="n">
        <x:v>3</x:v>
      </x:c>
      <x:c r="K86" s="9" t="n">
        <x:v>1</x:v>
      </x:c>
      <x:c r="L86" s="9" t="n">
        <x:v>4</x:v>
      </x:c>
      <x:c r="M86" s="12" t="n">
        <x:v>2.4</x:v>
      </x:c>
      <x:c r="N86" s="9" t="inlineStr">
        <x:is>
          <x:t xml:space="preserve">Módulos de acero + paneles SIP</x:t>
        </x:is>
      </x:c>
      <x:c r="O86" s="10" t="inlineStr">
        <x:is>
          <x:t xml:space="preserve">Acero galvanizado o madera laminada + panel SIP MgO/OSB</x:t>
        </x:is>
      </x:c>
      <x:c r="P86" s="15" t="n">
        <x:v>110</x:v>
      </x:c>
      <x:c r="Q86" s="9" t="inlineStr">
        <x:is>
          <x:t xml:space="preserve">Lana mineral 75-100 mm o EPS integrado</x:t>
        </x:is>
      </x:c>
      <x:c r="R86" s="15" t="n">
        <x:v>75</x:v>
      </x:c>
      <x:c r="S86" s="10" t="inlineStr">
        <x:is>
          <x:t xml:space="preserve">Módulo volumétrico con cubierta panelizada</x:t>
        </x:is>
      </x:c>
      <x:c r="T86" s="15" t="n">
        <x:v>180</x:v>
      </x:c>
      <x:c r="U86" s="10" t="inlineStr">
        <x:is>
          <x:t xml:space="preserve">Lana mineral / EPS / barrera vapor</x:t>
        </x:is>
      </x:c>
      <x:c r="V86" s="9" t="inlineStr">
        <x:is>
          <x:t xml:space="preserve">Bastidor metálico o madera laminada</x:t>
        </x:is>
      </x:c>
      <x:c r="W86" s="10" t="inlineStr">
        <x:is>
          <x:t xml:space="preserve">Lana mineral 80-100 mm + fibrocemento</x:t>
        </x:is>
      </x:c>
      <x:c r="X86" s="9" t="inlineStr">
        <x:is>
          <x:t xml:space="preserve">PVC termopanel</x:t>
        </x:is>
      </x:c>
      <x:c r="Y86" s="9" t="inlineStr">
        <x:is>
          <x:t xml:space="preserve">Plancha metálica</x:t>
        </x:is>
      </x:c>
      <x:c r="Z86" s="9" t="inlineStr">
        <x:is>
          <x:t xml:space="preserve">Melamina blanca</x:t>
        </x:is>
      </x:c>
      <x:c r="AA86" s="9" t="inlineStr">
        <x:is>
          <x:t xml:space="preserve">Radier</x:t>
        </x:is>
      </x:c>
      <x:c r="AB86" s="15" t="n">
        <x:v>5</x:v>
      </x:c>
      <x:c r="AC86" s="15" t="n">
        <x:v>10</x:v>
      </x:c>
      <x:c r="AD86" s="9" t="inlineStr">
        <x:is>
          <x:t xml:space="preserve">Primera vivienda</x:t>
        </x:is>
      </x:c>
      <x:c r="AE86" s="9" t="inlineStr">
        <x:is>
          <x:t xml:space="preserve">Centro templado</x:t>
        </x:is>
      </x:c>
      <x:c r="AF86" s="10" t="inlineStr">
        <x:is>
          <x:t xml:space="preserve">Criterios de prefabricación modular y coordinación BIM (referencial)</x:t>
        </x:is>
      </x:c>
      <x:c r="AG86" s="10" t="inlineStr">
        <x:is>
          <x:t xml:space="preserve">https://modul.cl/construccion-de-casas-prefabricadas-modulares/ | https://tecnofasthome.cl/casas-modulares/</x:t>
        </x:is>
      </x:c>
      <x:c r="AH86" s="10" t="inlineStr">
        <x:is>
          <x:t xml:space="preserve">Estructura: Módulos de acero + paneles SIP; muros Acero galvanizado o madera laminada + panel SIP MgO/OSB de 110 mm con aislación Lana mineral 75-100 mm o EPS integrado (75 mm); cubierta Módulo volumétrico con cubierta panelizada de 180 mm; ventanas Aluminio termopanel; revestimiento exterior Fibrocemento tipo siding; interior Yeso cartón RH; fundación sugerida Pilotes ajustables.</x:t>
        </x:is>
      </x:c>
    </x:row>
    <x:row r="87" ht="32" customHeight="1">
      <x:c r="A87" s="9" t="inlineStr">
        <x:is>
          <x:t xml:space="preserve">MOD-0086</x:t>
        </x:is>
      </x:c>
      <x:c r="B87" s="9" t="inlineStr">
        <x:is>
          <x:t xml:space="preserve">EMP-018</x:t>
        </x:is>
      </x:c>
      <x:c r="C87" s="9" t="inlineStr">
        <x:is>
          <x:t xml:space="preserve">Vallenar 60</x:t>
        </x:is>
      </x:c>
      <x:c r="D87" s="9" t="inlineStr">
        <x:is>
          <x:t xml:space="preserve">Vallenar</x:t>
        </x:is>
      </x:c>
      <x:c r="E87" s="9" t="inlineStr">
        <x:is>
          <x:t xml:space="preserve">Archipiélago</x:t>
        </x:is>
      </x:c>
      <x:c r="F87" s="9" t="inlineStr">
        <x:is>
          <x:t xml:space="preserve">Sí</x:t>
        </x:is>
      </x:c>
      <x:c r="G87" s="9" t="inlineStr">
        <x:is>
          <x:t xml:space="preserve">MODULAR_TIMBER</x:t>
        </x:is>
      </x:c>
      <x:c r="H87" s="15" t="n">
        <x:v>60</x:v>
      </x:c>
      <x:c r="I87" s="9" t="n">
        <x:v>2</x:v>
      </x:c>
      <x:c r="J87" s="9" t="n">
        <x:v>1</x:v>
      </x:c>
      <x:c r="K87" s="9" t="n">
        <x:v>1</x:v>
      </x:c>
      <x:c r="L87" s="9" t="n">
        <x:v>2</x:v>
      </x:c>
      <x:c r="M87" s="12" t="n">
        <x:v>2.45</x:v>
      </x:c>
      <x:c r="N87" s="9" t="inlineStr">
        <x:is>
          <x:t xml:space="preserve">Madera laminada y entramado ligero</x:t>
        </x:is>
      </x:c>
      <x:c r="O87" s="10" t="inlineStr">
        <x:is>
          <x:t xml:space="preserve">Madera estructural + OSB / terciado + barrera hidrófuga</x:t>
        </x:is>
      </x:c>
      <x:c r="P87" s="15" t="n">
        <x:v>140</x:v>
      </x:c>
      <x:c r="Q87" s="9" t="inlineStr">
        <x:is>
          <x:t xml:space="preserve">Lana mineral / lana de vidrio / PET reciclado</x:t>
        </x:is>
      </x:c>
      <x:c r="R87" s="15" t="n">
        <x:v>100</x:v>
      </x:c>
      <x:c r="S87" s="10" t="inlineStr">
        <x:is>
          <x:t xml:space="preserve">Cercha de madera + cubierta metálica o tejuela asfáltica</x:t>
        </x:is>
      </x:c>
      <x:c r="T87" s="15" t="n">
        <x:v>120</x:v>
      </x:c>
      <x:c r="U87" s="10" t="inlineStr">
        <x:is>
          <x:t xml:space="preserve">Lana mineral 80-140 mm + membrana</x:t>
        </x:is>
      </x:c>
      <x:c r="V87" s="9" t="inlineStr">
        <x:is>
          <x:t xml:space="preserve">Plataforma de madera estructural o radier</x:t>
        </x:is>
      </x:c>
      <x:c r="W87" s="10" t="inlineStr">
        <x:is>
          <x:t xml:space="preserve">Lana mineral 50-100 mm / barrera humedad</x:t>
        </x:is>
      </x:c>
      <x:c r="X87" s="9" t="inlineStr">
        <x:is>
          <x:t xml:space="preserve">Aluminio termopanel</x:t>
        </x:is>
      </x:c>
      <x:c r="Y87" s="9" t="inlineStr">
        <x:is>
          <x:t xml:space="preserve">Smart Panel</x:t>
        </x:is>
      </x:c>
      <x:c r="Z87" s="9" t="inlineStr">
        <x:is>
          <x:t xml:space="preserve">Terciado pintado</x:t>
        </x:is>
      </x:c>
      <x:c r="AA87" s="9" t="inlineStr">
        <x:is>
          <x:t xml:space="preserve">Radier</x:t>
        </x:is>
      </x:c>
      <x:c r="AB87" s="15" t="n">
        <x:v>4</x:v>
      </x:c>
      <x:c r="AC87" s="15" t="n">
        <x:v>15</x:v>
      </x:c>
      <x:c r="AD87" s="9" t="inlineStr">
        <x:is>
          <x:t xml:space="preserve">Turismo / arriendo</x:t>
        </x:is>
      </x:c>
      <x:c r="AE87" s="9" t="inlineStr">
        <x:is>
          <x:t xml:space="preserve">Centro templado</x:t>
        </x:is>
      </x:c>
      <x:c r="AF87" s="10" t="inlineStr">
        <x:is>
          <x:t xml:space="preserve">Especificaciones técnicas de vivienda industrializada en madera (referencial)</x:t>
        </x:is>
      </x:c>
      <x:c r="AG87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87" s="10" t="inlineStr">
        <x:is>
          <x:t xml:space="preserve">Estructura: Madera laminada y entramado ligero; muros Madera estructural + OSB / terciado + barrera hidrófuga de 140 mm con aislación Lana mineral / lana de vidrio / PET reciclado (100 mm); cubierta Cercha de madera + cubierta metálica o tejuela asfáltica de 120 mm; ventanas Aluminio termopanel; revestimiento exterior Smart Panel; interior Yeso cartón; fundación sugerida Radier.</x:t>
        </x:is>
      </x:c>
    </x:row>
    <x:row r="88" ht="32" customHeight="1">
      <x:c r="A88" s="9" t="inlineStr">
        <x:is>
          <x:t xml:space="preserve">MOD-0087</x:t>
        </x:is>
      </x:c>
      <x:c r="B88" s="9" t="inlineStr">
        <x:is>
          <x:t xml:space="preserve">EMP-018</x:t>
        </x:is>
      </x:c>
      <x:c r="C88" s="9" t="inlineStr">
        <x:is>
          <x:t xml:space="preserve">Rancagua 96</x:t>
        </x:is>
      </x:c>
      <x:c r="D88" s="9" t="inlineStr">
        <x:is>
          <x:t xml:space="preserve">Rancagua</x:t>
        </x:is>
      </x:c>
      <x:c r="E88" s="9" t="inlineStr">
        <x:is>
          <x:t xml:space="preserve">Valle</x:t>
        </x:is>
      </x:c>
      <x:c r="F88" s="9" t="inlineStr">
        <x:is>
          <x:t xml:space="preserve">Sí</x:t>
        </x:is>
      </x:c>
      <x:c r="G88" s="9" t="inlineStr">
        <x:is>
          <x:t xml:space="preserve">MODULAR_TIMBER</x:t>
        </x:is>
      </x:c>
      <x:c r="H88" s="15" t="n">
        <x:v>96</x:v>
      </x:c>
      <x:c r="I88" s="9" t="n">
        <x:v>3</x:v>
      </x:c>
      <x:c r="J88" s="9" t="n">
        <x:v>2</x:v>
      </x:c>
      <x:c r="K88" s="9" t="n">
        <x:v>1</x:v>
      </x:c>
      <x:c r="L88" s="9" t="n">
        <x:v>3</x:v>
      </x:c>
      <x:c r="M88" s="12" t="n">
        <x:v>2.45</x:v>
      </x:c>
      <x:c r="N88" s="9" t="inlineStr">
        <x:is>
          <x:t xml:space="preserve">Wood frame modular</x:t>
        </x:is>
      </x:c>
      <x:c r="O88" s="10" t="inlineStr">
        <x:is>
          <x:t xml:space="preserve">Madera estructural + OSB / terciado + barrera hidrófuga</x:t>
        </x:is>
      </x:c>
      <x:c r="P88" s="15" t="n">
        <x:v>100</x:v>
      </x:c>
      <x:c r="Q88" s="9" t="inlineStr">
        <x:is>
          <x:t xml:space="preserve">Lana mineral / lana de vidrio / PET reciclado</x:t>
        </x:is>
      </x:c>
      <x:c r="R88" s="15" t="n">
        <x:v>60</x:v>
      </x:c>
      <x:c r="S88" s="10" t="inlineStr">
        <x:is>
          <x:t xml:space="preserve">Cercha de madera + cubierta metálica o tejuela asfáltica</x:t>
        </x:is>
      </x:c>
      <x:c r="T88" s="15" t="n">
        <x:v>120</x:v>
      </x:c>
      <x:c r="U88" s="10" t="inlineStr">
        <x:is>
          <x:t xml:space="preserve">Lana mineral 80-140 mm + membrana</x:t>
        </x:is>
      </x:c>
      <x:c r="V88" s="9" t="inlineStr">
        <x:is>
          <x:t xml:space="preserve">Plataforma de madera estructural o radier</x:t>
        </x:is>
      </x:c>
      <x:c r="W88" s="10" t="inlineStr">
        <x:is>
          <x:t xml:space="preserve">Lana mineral 50-100 mm / barrera humedad</x:t>
        </x:is>
      </x:c>
      <x:c r="X88" s="9" t="inlineStr">
        <x:is>
          <x:t xml:space="preserve">Aluminio termopanel</x:t>
        </x:is>
      </x:c>
      <x:c r="Y88" s="9" t="inlineStr">
        <x:is>
          <x:t xml:space="preserve">Smart Panel</x:t>
        </x:is>
      </x:c>
      <x:c r="Z88" s="9" t="inlineStr">
        <x:is>
          <x:t xml:space="preserve">MDF ranurado</x:t>
        </x:is>
      </x:c>
      <x:c r="AA88" s="9" t="inlineStr">
        <x:is>
          <x:t xml:space="preserve">Fundación corrida</x:t>
        </x:is>
      </x:c>
      <x:c r="AB88" s="15" t="n">
        <x:v>8</x:v>
      </x:c>
      <x:c r="AC88" s="15" t="n">
        <x:v>9</x:v>
      </x:c>
      <x:c r="AD88" s="9" t="inlineStr">
        <x:is>
          <x:t xml:space="preserve">Loteo habitacional</x:t>
        </x:is>
      </x:c>
      <x:c r="AE88" s="9" t="inlineStr">
        <x:is>
          <x:t xml:space="preserve">Centro templado</x:t>
        </x:is>
      </x:c>
      <x:c r="AF88" s="10" t="inlineStr">
        <x:is>
          <x:t xml:space="preserve">Especificaciones técnicas de vivienda industrializada en madera (referencial)</x:t>
        </x:is>
      </x:c>
      <x:c r="AG88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88" s="10" t="inlineStr">
        <x:is>
          <x:t xml:space="preserve">Estructura: Entramado ligero en pino impregnado; muros Madera estructural + OSB / terciado + barrera hidrófuga de 100 mm con aislación Lana mineral / lana de vidrio / PET reciclado (60 mm); cubierta Cercha de madera + cubierta metálica o tejuela asfáltica de 120 mm; ventanas PVC termopanel; revestimiento exterior Madera tratada; interior Terciado pintado; fundación sugerida Fundación corrida.</x:t>
        </x:is>
      </x:c>
    </x:row>
    <x:row r="89" ht="32" customHeight="1">
      <x:c r="A89" s="9" t="inlineStr">
        <x:is>
          <x:t xml:space="preserve">MOD-0088</x:t>
        </x:is>
      </x:c>
      <x:c r="B89" s="9" t="inlineStr">
        <x:is>
          <x:t xml:space="preserve">EMP-018</x:t>
        </x:is>
      </x:c>
      <x:c r="C89" s="9" t="inlineStr">
        <x:is>
          <x:t xml:space="preserve">Machalí 104</x:t>
        </x:is>
      </x:c>
      <x:c r="D89" s="9" t="inlineStr">
        <x:is>
          <x:t xml:space="preserve">Machalí</x:t>
        </x:is>
      </x:c>
      <x:c r="E89" s="9" t="inlineStr">
        <x:is>
          <x:t xml:space="preserve">Río</x:t>
        </x:is>
      </x:c>
      <x:c r="F89" s="9" t="inlineStr">
        <x:is>
          <x:t xml:space="preserve">Sí</x:t>
        </x:is>
      </x:c>
      <x:c r="G89" s="9" t="inlineStr">
        <x:is>
          <x:t xml:space="preserve">SIP</x:t>
        </x:is>
      </x:c>
      <x:c r="H89" s="15" t="n">
        <x:v>104</x:v>
      </x:c>
      <x:c r="I89" s="9" t="n">
        <x:v>3</x:v>
      </x:c>
      <x:c r="J89" s="9" t="n">
        <x:v>2</x:v>
      </x:c>
      <x:c r="K89" s="9" t="n">
        <x:v>1</x:v>
      </x:c>
      <x:c r="L89" s="9" t="n">
        <x:v>3</x:v>
      </x:c>
      <x:c r="M89" s="12" t="n">
        <x:v>2.35</x:v>
      </x:c>
      <x:c r="N89" s="9" t="inlineStr">
        <x:is>
          <x:t xml:space="preserve">Panel SIP estructural OSB/EPS/OSB</x:t>
        </x:is>
      </x:c>
      <x:c r="O89" s="10" t="inlineStr">
        <x:is>
          <x:t xml:space="preserve">2 placas OSB estructural + núcleo EPS alta densidad</x:t>
        </x:is>
      </x:c>
      <x:c r="P89" s="15" t="n">
        <x:v>90</x:v>
      </x:c>
      <x:c r="Q89" s="9" t="inlineStr">
        <x:is>
          <x:t xml:space="preserve">EPS alta densidad 15 kg/m³</x:t>
        </x:is>
      </x:c>
      <x:c r="R89" s="15" t="n">
        <x:v>68</x:v>
      </x:c>
      <x:c r="S89" s="10" t="inlineStr">
        <x:is>
          <x:t xml:space="preserve">Panel SIP de cubierta + membrana hidrófuga + hojalatería</x:t>
        </x:is>
      </x:c>
      <x:c r="T89" s="15" t="n">
        <x:v>130</x:v>
      </x:c>
      <x:c r="U89" s="10" t="inlineStr">
        <x:is>
          <x:t xml:space="preserve">EPS integrado + sellos PU</x:t>
        </x:is>
      </x:c>
      <x:c r="V89" s="9" t="inlineStr">
        <x:is>
          <x:t xml:space="preserve">Base entramado madera o radier con barrera de humedad</x:t>
        </x:is>
      </x:c>
      <x:c r="W89" s="10" t="inlineStr">
        <x:is>
          <x:t xml:space="preserve">Aislación bajo piso PET o lana mineral 50-100 mm</x:t>
        </x:is>
      </x:c>
      <x:c r="X89" s="9" t="inlineStr">
        <x:is>
          <x:t xml:space="preserve">PVC termopanel</x:t>
        </x:is>
      </x:c>
      <x:c r="Y89" s="9" t="inlineStr">
        <x:is>
          <x:t xml:space="preserve">Plancha metálica prepintada</x:t>
        </x:is>
      </x:c>
      <x:c r="Z89" s="9" t="inlineStr">
        <x:is>
          <x:t xml:space="preserve">Yeso cartón RH en zonas húmedas</x:t>
        </x:is>
      </x:c>
      <x:c r="AA89" s="9" t="inlineStr">
        <x:is>
          <x:t xml:space="preserve">Fundación corrida</x:t>
        </x:is>
      </x:c>
      <x:c r="AB89" s="15" t="n">
        <x:v>3</x:v>
      </x:c>
      <x:c r="AC89" s="15" t="n">
        <x:v>4</x:v>
      </x:c>
      <x:c r="AD89" s="9" t="inlineStr">
        <x:is>
          <x:t xml:space="preserve">Oficina + vivienda</x:t>
        </x:is>
      </x:c>
      <x:c r="AE89" s="9" t="inlineStr">
        <x:is>
          <x:t xml:space="preserve">Centro templado</x:t>
        </x:is>
      </x:c>
      <x:c r="AF89" s="10" t="inlineStr">
        <x:is>
          <x:t xml:space="preserve">NCh3393:2016 (referencial para paneles SIP)</x:t>
        </x:is>
      </x:c>
      <x:c r="AG8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89" s="10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130 mm; ventanas Aluminio con termopanel; revestimiento exterior Plancha metálica prepintada; interior Yeso cartón RH en zonas húmedas; fundación sugerida Sobrecimientos y radier.</x:t>
        </x:is>
      </x:c>
    </x:row>
    <x:row r="90" ht="32" customHeight="1">
      <x:c r="A90" s="9" t="inlineStr">
        <x:is>
          <x:t xml:space="preserve">MOD-0089</x:t>
        </x:is>
      </x:c>
      <x:c r="B90" s="9" t="inlineStr">
        <x:is>
          <x:t xml:space="preserve">EMP-018</x:t>
        </x:is>
      </x:c>
      <x:c r="C90" s="9" t="inlineStr">
        <x:is>
          <x:t xml:space="preserve">Melipilla 120</x:t>
        </x:is>
      </x:c>
      <x:c r="D90" s="9" t="inlineStr">
        <x:is>
          <x:t xml:space="preserve">Melipilla</x:t>
        </x:is>
      </x:c>
      <x:c r="E90" s="9" t="inlineStr">
        <x:is>
          <x:t xml:space="preserve">Ciudad</x:t>
        </x:is>
      </x:c>
      <x:c r="F90" s="9" t="inlineStr">
        <x:is>
          <x:t xml:space="preserve">Sí</x:t>
        </x:is>
      </x:c>
      <x:c r="G90" s="9" t="inlineStr">
        <x:is>
          <x:t xml:space="preserve">HYBRID_MODULAR</x:t>
        </x:is>
      </x:c>
      <x:c r="H90" s="15" t="n">
        <x:v>120</x:v>
      </x:c>
      <x:c r="I90" s="9" t="n">
        <x:v>3</x:v>
      </x:c>
      <x:c r="J90" s="9" t="n">
        <x:v>2</x:v>
      </x:c>
      <x:c r="K90" s="9" t="n">
        <x:v>1</x:v>
      </x:c>
      <x:c r="L90" s="9" t="n">
        <x:v>3</x:v>
      </x:c>
      <x:c r="M90" s="12" t="n">
        <x:v>2.35</x:v>
      </x:c>
      <x:c r="N90" s="9" t="inlineStr">
        <x:is>
          <x:t xml:space="preserve">Módulos de acero + paneles SIP</x:t>
        </x:is>
      </x:c>
      <x:c r="O90" s="10" t="inlineStr">
        <x:is>
          <x:t xml:space="preserve">Acero galvanizado o madera laminada + panel SIP MgO/OSB</x:t>
        </x:is>
      </x:c>
      <x:c r="P90" s="15" t="n">
        <x:v>110</x:v>
      </x:c>
      <x:c r="Q90" s="9" t="inlineStr">
        <x:is>
          <x:t xml:space="preserve">Lana mineral 75-100 mm o EPS integrado</x:t>
        </x:is>
      </x:c>
      <x:c r="R90" s="15" t="n">
        <x:v>75</x:v>
      </x:c>
      <x:c r="S90" s="10" t="inlineStr">
        <x:is>
          <x:t xml:space="preserve">Módulo volumétrico con cubierta panelizada</x:t>
        </x:is>
      </x:c>
      <x:c r="T90" s="15" t="n">
        <x:v>140</x:v>
      </x:c>
      <x:c r="U90" s="10" t="inlineStr">
        <x:is>
          <x:t xml:space="preserve">Lana mineral / EPS / barrera vapor</x:t>
        </x:is>
      </x:c>
      <x:c r="V90" s="9" t="inlineStr">
        <x:is>
          <x:t xml:space="preserve">Bastidor metálico o madera laminada</x:t>
        </x:is>
      </x:c>
      <x:c r="W90" s="10" t="inlineStr">
        <x:is>
          <x:t xml:space="preserve">Lana mineral 80-100 mm + fibrocemento</x:t>
        </x:is>
      </x:c>
      <x:c r="X90" s="9" t="inlineStr">
        <x:is>
          <x:t xml:space="preserve">Aluminio termopanel</x:t>
        </x:is>
      </x:c>
      <x:c r="Y90" s="9" t="inlineStr">
        <x:is>
          <x:t xml:space="preserve">Fibrocemento tipo siding</x:t>
        </x:is>
      </x:c>
      <x:c r="Z90" s="9" t="inlineStr">
        <x:is>
          <x:t xml:space="preserve">Yeso cartón pintado</x:t>
        </x:is>
      </x:c>
      <x:c r="AA90" s="9" t="inlineStr">
        <x:is>
          <x:t xml:space="preserve">Dados de hormigón</x:t>
        </x:is>
      </x:c>
      <x:c r="AB90" s="15" t="n">
        <x:v>10</x:v>
      </x:c>
      <x:c r="AC90" s="15" t="n">
        <x:v>8</x:v>
      </x:c>
      <x:c r="AD90" s="9" t="inlineStr">
        <x:is>
          <x:t xml:space="preserve">Segunda vivienda</x:t>
        </x:is>
      </x:c>
      <x:c r="AE90" s="9" t="inlineStr">
        <x:is>
          <x:t xml:space="preserve">Centro templado</x:t>
        </x:is>
      </x:c>
      <x:c r="AF90" s="10" t="inlineStr">
        <x:is>
          <x:t xml:space="preserve">Criterios de prefabricación modular y coordinación BIM (referencial)</x:t>
        </x:is>
      </x:c>
      <x:c r="AG90" s="10" t="inlineStr">
        <x:is>
          <x:t xml:space="preserve">https://modul.cl/construccion-de-casas-prefabricadas-modulares/ | https://tecnofasthome.cl/casas-modulares/</x:t>
        </x:is>
      </x:c>
      <x:c r="AH90" s="10" t="inlineStr">
        <x:is>
          <x:t xml:space="preserve">Estructura: Estructura híbrida acero-madera panelizada; muros Acero galvanizado o madera laminada + panel SIP MgO/OSB de 110 mm con aislación Lana mineral 75-100 mm o EPS integrado (75 mm); cubierta Módulo volumétrico con cubierta panelizada de 140 mm; ventanas Aluminio termopanel; revestimiento exterior Fibrocemento tipo siding; interior Yeso cartón pintado; fundación sugerida Dados de hormigón.</x:t>
        </x:is>
      </x:c>
    </x:row>
    <x:row r="91" ht="32" customHeight="1">
      <x:c r="A91" s="9" t="inlineStr">
        <x:is>
          <x:t xml:space="preserve">MOD-0090</x:t>
        </x:is>
      </x:c>
      <x:c r="B91" s="9" t="inlineStr">
        <x:is>
          <x:t xml:space="preserve">EMP-018</x:t>
        </x:is>
      </x:c>
      <x:c r="C91" s="9" t="inlineStr">
        <x:is>
          <x:t xml:space="preserve">Lampa 210</x:t>
        </x:is>
      </x:c>
      <x:c r="D91" s="9" t="inlineStr">
        <x:is>
          <x:t xml:space="preserve">Lampa</x:t>
        </x:is>
      </x:c>
      <x:c r="E91" s="9" t="inlineStr">
        <x:is>
          <x:t xml:space="preserve">Valle</x:t>
        </x:is>
      </x:c>
      <x:c r="F91" s="9" t="inlineStr">
        <x:is>
          <x:t xml:space="preserve">Sí</x:t>
        </x:is>
      </x:c>
      <x:c r="G91" s="9" t="inlineStr">
        <x:is>
          <x:t xml:space="preserve">STEEL_FRAME</x:t>
        </x:is>
      </x:c>
      <x:c r="H91" s="15" t="n">
        <x:v>210</x:v>
      </x:c>
      <x:c r="I91" s="9" t="n">
        <x:v>4</x:v>
      </x:c>
      <x:c r="J91" s="9" t="n">
        <x:v>3</x:v>
      </x:c>
      <x:c r="K91" s="9" t="n">
        <x:v>2</x:v>
      </x:c>
      <x:c r="L91" s="9" t="n">
        <x:v>4</x:v>
      </x:c>
      <x:c r="M91" s="12" t="n">
        <x:v>2.35</x:v>
      </x:c>
      <x:c r="N91" s="9" t="inlineStr">
        <x:is>
          <x:t xml:space="preserve">Panelizado steel frame industrializado</x:t>
        </x:is>
      </x:c>
      <x:c r="O91" s="10" t="inlineStr">
        <x:is>
          <x:t xml:space="preserve">Acero galvanizado + placa OSB/fibrocemento + cámara técnica</x:t>
        </x:is>
      </x:c>
      <x:c r="P91" s="15" t="n">
        <x:v>90</x:v>
      </x:c>
      <x:c r="Q91" s="9" t="inlineStr">
        <x:is>
          <x:t xml:space="preserve">Lana mineral o lana de roca / PET / EPS según zona térmica</x:t>
        </x:is>
      </x:c>
      <x:c r="R91" s="15" t="n">
        <x:v>90</x:v>
      </x:c>
      <x:c r="S91" s="10" t="inlineStr">
        <x:is>
          <x:t xml:space="preserve">Cerchas o paneles steel frame + cubierta metálica</x:t>
        </x:is>
      </x:c>
      <x:c r="T91" s="15" t="n">
        <x:v>120</x:v>
      </x:c>
      <x:c r="U91" s="10" t="inlineStr">
        <x:is>
          <x:t xml:space="preserve">Lana mineral / lana de roca + barrera de vapor</x:t>
        </x:is>
      </x:c>
      <x:c r="V91" s="9" t="inlineStr">
        <x:is>
          <x:t xml:space="preserve">Envigado metálico o plataforma estructural</x:t>
        </x:is>
      </x:c>
      <x:c r="W91" s="10" t="inlineStr">
        <x:is>
          <x:t xml:space="preserve">Lana mineral 50-100 mm + placas estructurales</x:t>
        </x:is>
      </x:c>
      <x:c r="X91" s="9" t="inlineStr">
        <x:is>
          <x:t xml:space="preserve">PVC termopanel</x:t>
        </x:is>
      </x:c>
      <x:c r="Y91" s="9" t="inlineStr">
        <x:is>
          <x:t xml:space="preserve">Siding fibrocemento</x:t>
        </x:is>
      </x:c>
      <x:c r="Z91" s="9" t="inlineStr">
        <x:is>
          <x:t xml:space="preserve">Yeso cartón RF</x:t>
        </x:is>
      </x:c>
      <x:c r="AA91" s="9" t="inlineStr">
        <x:is>
          <x:t xml:space="preserve">Radier reforzado</x:t>
        </x:is>
      </x:c>
      <x:c r="AB91" s="15" t="n">
        <x:v>8</x:v>
      </x:c>
      <x:c r="AC91" s="15" t="n">
        <x:v>9</x:v>
      </x:c>
      <x:c r="AD91" s="9" t="inlineStr">
        <x:is>
          <x:t xml:space="preserve">Cabaña permanente</x:t>
        </x:is>
      </x:c>
      <x:c r="AE91" s="9" t="inlineStr">
        <x:is>
          <x:t xml:space="preserve">Centro templado</x:t>
        </x:is>
      </x:c>
      <x:c r="AF91" s="10" t="inlineStr">
        <x:is>
          <x:t xml:space="preserve">Criterio térmico referencial OGUC / reglamentación térmica vigente</x:t>
        </x:is>
      </x:c>
      <x:c r="AG91" s="10" t="inlineStr">
        <x:is>
          <x:t xml:space="preserve">https://www.steelframe.cl/ | https://vhaceros.cl/blog/steel-framing-principios-estructurales-y-ventajas-en-la-construccion-chilena/</x:t>
        </x:is>
      </x:c>
      <x:c r="AH91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120 mm; ventanas Aluminio RPT termopanel; revestimiento exterior Plancha metálica; interior MDF pintado; fundación sugerida Radier reforzado.</x:t>
        </x:is>
      </x:c>
    </x:row>
    <x:row r="92" ht="32" customHeight="1">
      <x:c r="A92" s="9" t="inlineStr">
        <x:is>
          <x:t xml:space="preserve">MOD-0091</x:t>
        </x:is>
      </x:c>
      <x:c r="B92" s="9" t="inlineStr">
        <x:is>
          <x:t xml:space="preserve">EMP-019</x:t>
        </x:is>
      </x:c>
      <x:c r="C92" s="9" t="inlineStr">
        <x:is>
          <x:t xml:space="preserve">Maipú 36</x:t>
        </x:is>
      </x:c>
      <x:c r="D92" s="9" t="inlineStr">
        <x:is>
          <x:t xml:space="preserve">Maipú</x:t>
        </x:is>
      </x:c>
      <x:c r="E92" s="9" t="inlineStr">
        <x:is>
          <x:t xml:space="preserve">Ciudad</x:t>
        </x:is>
      </x:c>
      <x:c r="F92" s="9" t="inlineStr">
        <x:is>
          <x:t xml:space="preserve">Sí</x:t>
        </x:is>
      </x:c>
      <x:c r="G92" s="9" t="inlineStr">
        <x:is>
          <x:t xml:space="preserve">CONTAINER</x:t>
        </x:is>
      </x:c>
      <x:c r="H92" s="15" t="n">
        <x:v>36</x:v>
      </x:c>
      <x:c r="I92" s="9" t="n">
        <x:v>1</x:v>
      </x:c>
      <x:c r="J92" s="9" t="n">
        <x:v>1</x:v>
      </x:c>
      <x:c r="K92" s="9" t="n">
        <x:v>1</x:v>
      </x:c>
      <x:c r="L92" s="9" t="n">
        <x:v>1</x:v>
      </x:c>
      <x:c r="M92" s="12" t="n">
        <x:v>2.5</x:v>
      </x:c>
      <x:c r="N92" s="9" t="inlineStr">
        <x:is>
          <x:t xml:space="preserve">Módulo habitacional de acero galvanizado / corten</x:t>
        </x:is>
      </x:c>
      <x:c r="O92" s="10" t="inlineStr">
        <x:is>
          <x:t xml:space="preserve">Estructura container + subestructura interior + revestimiento</x:t>
        </x:is>
      </x:c>
      <x:c r="P92" s="15" t="n">
        <x:v>110</x:v>
      </x:c>
      <x:c r="Q92" s="9" t="inlineStr">
        <x:is>
          <x:t xml:space="preserve">Poliuretano proyectado o EPS/Aislapol 40-60 mm</x:t>
        </x:is>
      </x:c>
      <x:c r="R92" s="15" t="n">
        <x:v>60</x:v>
      </x:c>
      <x:c r="S92" s="10" t="inlineStr">
        <x:is>
          <x:t xml:space="preserve">Cubierta metálica container + sobretecho ventilado opcional</x:t>
        </x:is>
      </x:c>
      <x:c r="T92" s="15" t="n">
        <x:v>120</x:v>
      </x:c>
      <x:c r="U92" s="10" t="inlineStr">
        <x:is>
          <x:t xml:space="preserve">Poliuretano / EPS + barrera anticondensación</x:t>
        </x:is>
      </x:c>
      <x:c r="V92" s="9" t="inlineStr">
        <x:is>
          <x:t xml:space="preserve">Piso terciado 18 mm o base original acondicionada + vinílico</x:t>
        </x:is>
      </x:c>
      <x:c r="W92" s="10" t="inlineStr">
        <x:is>
          <x:t xml:space="preserve">Aislación bajo piso 40-80 mm</x:t>
        </x:is>
      </x:c>
      <x:c r="X92" s="9" t="inlineStr">
        <x:is>
          <x:t xml:space="preserve">Aluminio termopanel</x:t>
        </x:is>
      </x:c>
      <x:c r="Y92" s="9" t="inlineStr">
        <x:is>
          <x:t xml:space="preserve">Plancha metálica prepintada</x:t>
        </x:is>
      </x:c>
      <x:c r="Z92" s="9" t="inlineStr">
        <x:is>
          <x:t xml:space="preserve">Madera pintada</x:t>
        </x:is>
      </x:c>
      <x:c r="AA92" s="9" t="inlineStr">
        <x:is>
          <x:t xml:space="preserve">Radier</x:t>
        </x:is>
      </x:c>
      <x:c r="AB92" s="15" t="n">
        <x:v>6</x:v>
      </x:c>
      <x:c r="AC92" s="15" t="n">
        <x:v>4</x:v>
      </x:c>
      <x:c r="AD92" s="9" t="inlineStr">
        <x:is>
          <x:t xml:space="preserve">Loteo habitacional</x:t>
        </x:is>
      </x:c>
      <x:c r="AE92" s="9" t="inlineStr">
        <x:is>
          <x:t xml:space="preserve">Centro templado</x:t>
        </x:is>
      </x:c>
      <x:c r="AF92" s="10" t="inlineStr">
        <x:is>
          <x:t xml:space="preserve">Criterios de aislación, ventilación y tratamiento anticorrosivo (referencial)</x:t>
        </x:is>
      </x:c>
      <x:c r="AG92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92" s="10" t="inlineStr">
        <x:is>
          <x:t xml:space="preserve">Estructura: Contenedor marítimo acondicionado; muros Estructura container + subestructura interior + revestimiento de 110 mm con aislación Poliuretano proyectado o EPS/Aislapol 40-60 mm (60 mm); cubierta Cubierta metálica container + sobretecho ventilado opcional de 120 mm; ventanas PVC termopanel; revestimiento exterior Madera tratada ventilada; interior Yeso cartón; fundación sugerida Dados de hormigón.</x:t>
        </x:is>
      </x:c>
    </x:row>
    <x:row r="93" ht="32" customHeight="1">
      <x:c r="A93" s="9" t="inlineStr">
        <x:is>
          <x:t xml:space="preserve">MOD-0092</x:t>
        </x:is>
      </x:c>
      <x:c r="B93" s="9" t="inlineStr">
        <x:is>
          <x:t xml:space="preserve">EMP-019</x:t>
        </x:is>
      </x:c>
      <x:c r="C93" s="9" t="inlineStr">
        <x:is>
          <x:t xml:space="preserve">Puente Alto 72</x:t>
        </x:is>
      </x:c>
      <x:c r="D93" s="9" t="inlineStr">
        <x:is>
          <x:t xml:space="preserve">Puente Alto</x:t>
        </x:is>
      </x:c>
      <x:c r="E93" s="9" t="inlineStr">
        <x:is>
          <x:t xml:space="preserve">Lago</x:t>
        </x:is>
      </x:c>
      <x:c r="F93" s="9" t="inlineStr">
        <x:is>
          <x:t xml:space="preserve">Sí</x:t>
        </x:is>
      </x:c>
      <x:c r="G93" s="9" t="inlineStr">
        <x:is>
          <x:t xml:space="preserve">CONTAINER</x:t>
        </x:is>
      </x:c>
      <x:c r="H93" s="15" t="n">
        <x:v>72</x:v>
      </x:c>
      <x:c r="I93" s="9" t="n">
        <x:v>2</x:v>
      </x:c>
      <x:c r="J93" s="9" t="n">
        <x:v>2</x:v>
      </x:c>
      <x:c r="K93" s="9" t="n">
        <x:v>1</x:v>
      </x:c>
      <x:c r="L93" s="9" t="n">
        <x:v>2</x:v>
      </x:c>
      <x:c r="M93" s="12" t="n">
        <x:v>2.5</x:v>
      </x:c>
      <x:c r="N93" s="9" t="inlineStr">
        <x:is>
          <x:t xml:space="preserve">Módulo habitacional de acero galvanizado / corten</x:t>
        </x:is>
      </x:c>
      <x:c r="O93" s="10" t="inlineStr">
        <x:is>
          <x:t xml:space="preserve">Estructura container + subestructura interior + revestimiento</x:t>
        </x:is>
      </x:c>
      <x:c r="P93" s="15" t="n">
        <x:v>140</x:v>
      </x:c>
      <x:c r="Q93" s="9" t="inlineStr">
        <x:is>
          <x:t xml:space="preserve">Poliuretano proyectado o EPS/Aislapol 40-60 mm</x:t>
        </x:is>
      </x:c>
      <x:c r="R93" s="15" t="n">
        <x:v>50</x:v>
      </x:c>
      <x:c r="S93" s="10" t="inlineStr">
        <x:is>
          <x:t xml:space="preserve">Cubierta metálica container + sobretecho ventilado opcional</x:t>
        </x:is>
      </x:c>
      <x:c r="T93" s="15" t="n">
        <x:v>80</x:v>
      </x:c>
      <x:c r="U93" s="10" t="inlineStr">
        <x:is>
          <x:t xml:space="preserve">Poliuretano / EPS + barrera anticondensación</x:t>
        </x:is>
      </x:c>
      <x:c r="V93" s="9" t="inlineStr">
        <x:is>
          <x:t xml:space="preserve">Piso terciado 18 mm o base original acondicionada + vinílico</x:t>
        </x:is>
      </x:c>
      <x:c r="W93" s="10" t="inlineStr">
        <x:is>
          <x:t xml:space="preserve">Aislación bajo piso 40-80 mm</x:t>
        </x:is>
      </x:c>
      <x:c r="X93" s="9" t="inlineStr">
        <x:is>
          <x:t xml:space="preserve">PVC termopanel</x:t>
        </x:is>
      </x:c>
      <x:c r="Y93" s="9" t="inlineStr">
        <x:is>
          <x:t xml:space="preserve">Acero galvanizado pintado</x:t>
        </x:is>
      </x:c>
      <x:c r="Z93" s="9" t="inlineStr">
        <x:is>
          <x:t xml:space="preserve">Melamina</x:t>
        </x:is>
      </x:c>
      <x:c r="AA93" s="9" t="inlineStr">
        <x:is>
          <x:t xml:space="preserve">Dados de hormigón</x:t>
        </x:is>
      </x:c>
      <x:c r="AB93" s="15" t="n">
        <x:v>3</x:v>
      </x:c>
      <x:c r="AC93" s="15" t="n">
        <x:v>2</x:v>
      </x:c>
      <x:c r="AD93" s="9" t="inlineStr">
        <x:is>
          <x:t xml:space="preserve">Parcela</x:t>
        </x:is>
      </x:c>
      <x:c r="AE93" s="9" t="inlineStr">
        <x:is>
          <x:t xml:space="preserve">Centro templado</x:t>
        </x:is>
      </x:c>
      <x:c r="AF93" s="10" t="inlineStr">
        <x:is>
          <x:t xml:space="preserve">Criterios de aislación, ventilación y tratamiento anticorrosivo (referencial)</x:t>
        </x:is>
      </x:c>
      <x:c r="AG93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93" s="10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80 mm; ventanas Aluminio termopanel; revestimiento exterior Madera tratada ventilada; interior Madera pintada; fundación sugerida Radier.</x:t>
        </x:is>
      </x:c>
    </x:row>
    <x:row r="94" ht="32" customHeight="1">
      <x:c r="A94" s="9" t="inlineStr">
        <x:is>
          <x:t xml:space="preserve">MOD-0093</x:t>
        </x:is>
      </x:c>
      <x:c r="B94" s="9" t="inlineStr">
        <x:is>
          <x:t xml:space="preserve">EMP-019</x:t>
        </x:is>
      </x:c>
      <x:c r="C94" s="9" t="inlineStr">
        <x:is>
          <x:t xml:space="preserve">Vitacura 96</x:t>
        </x:is>
      </x:c>
      <x:c r="D94" s="9" t="inlineStr">
        <x:is>
          <x:t xml:space="preserve">Vitacura</x:t>
        </x:is>
      </x:c>
      <x:c r="E94" s="9" t="inlineStr">
        <x:is>
          <x:t xml:space="preserve">Volcán</x:t>
        </x:is>
      </x:c>
      <x:c r="F94" s="9" t="inlineStr">
        <x:is>
          <x:t xml:space="preserve">Sí</x:t>
        </x:is>
      </x:c>
      <x:c r="G94" s="9" t="inlineStr">
        <x:is>
          <x:t xml:space="preserve">HYBRID_MODULAR</x:t>
        </x:is>
      </x:c>
      <x:c r="H94" s="15" t="n">
        <x:v>96</x:v>
      </x:c>
      <x:c r="I94" s="9" t="n">
        <x:v>3</x:v>
      </x:c>
      <x:c r="J94" s="9" t="n">
        <x:v>2</x:v>
      </x:c>
      <x:c r="K94" s="9" t="n">
        <x:v>1</x:v>
      </x:c>
      <x:c r="L94" s="9" t="n">
        <x:v>3</x:v>
      </x:c>
      <x:c r="M94" s="12" t="n">
        <x:v>2.5</x:v>
      </x:c>
      <x:c r="N94" s="9" t="inlineStr">
        <x:is>
          <x:t xml:space="preserve">Módulos de acero + paneles SIP</x:t>
        </x:is>
      </x:c>
      <x:c r="O94" s="10" t="inlineStr">
        <x:is>
          <x:t xml:space="preserve">Acero galvanizado o madera laminada + panel SIP MgO/OSB</x:t>
        </x:is>
      </x:c>
      <x:c r="P94" s="15" t="n">
        <x:v>140</x:v>
      </x:c>
      <x:c r="Q94" s="9" t="inlineStr">
        <x:is>
          <x:t xml:space="preserve">Lana mineral 75-100 mm o EPS integrado</x:t>
        </x:is>
      </x:c>
      <x:c r="R94" s="15" t="n">
        <x:v>90</x:v>
      </x:c>
      <x:c r="S94" s="10" t="inlineStr">
        <x:is>
          <x:t xml:space="preserve">Módulo volumétrico con cubierta panelizada</x:t>
        </x:is>
      </x:c>
      <x:c r="T94" s="15" t="n">
        <x:v>140</x:v>
      </x:c>
      <x:c r="U94" s="10" t="inlineStr">
        <x:is>
          <x:t xml:space="preserve">Lana mineral / EPS / barrera vapor</x:t>
        </x:is>
      </x:c>
      <x:c r="V94" s="9" t="inlineStr">
        <x:is>
          <x:t xml:space="preserve">Bastidor metálico o madera laminada</x:t>
        </x:is>
      </x:c>
      <x:c r="W94" s="10" t="inlineStr">
        <x:is>
          <x:t xml:space="preserve">Lana mineral 80-100 mm + fibrocemento</x:t>
        </x:is>
      </x:c>
      <x:c r="X94" s="9" t="inlineStr">
        <x:is>
          <x:t xml:space="preserve">PVC termopanel</x:t>
        </x:is>
      </x:c>
      <x:c r="Y94" s="9" t="inlineStr">
        <x:is>
          <x:t xml:space="preserve">Fibrocemento tipo siding</x:t>
        </x:is>
      </x:c>
      <x:c r="Z94" s="9" t="inlineStr">
        <x:is>
          <x:t xml:space="preserve">Melamina blanca</x:t>
        </x:is>
      </x:c>
      <x:c r="AA94" s="9" t="inlineStr">
        <x:is>
          <x:t xml:space="preserve">Dados de hormigón</x:t>
        </x:is>
      </x:c>
      <x:c r="AB94" s="15" t="n">
        <x:v>6</x:v>
      </x:c>
      <x:c r="AC94" s="15" t="n">
        <x:v>4</x:v>
      </x:c>
      <x:c r="AD94" s="9" t="inlineStr">
        <x:is>
          <x:t xml:space="preserve">Primera vivienda</x:t>
        </x:is>
      </x:c>
      <x:c r="AE94" s="9" t="inlineStr">
        <x:is>
          <x:t xml:space="preserve">Centro templado</x:t>
        </x:is>
      </x:c>
      <x:c r="AF94" s="10" t="inlineStr">
        <x:is>
          <x:t xml:space="preserve">Criterios de prefabricación modular y coordinación BIM (referencial)</x:t>
        </x:is>
      </x:c>
      <x:c r="AG94" s="10" t="inlineStr">
        <x:is>
          <x:t xml:space="preserve">https://modul.cl/construccion-de-casas-prefabricadas-modulares/ | https://tecnofasthome.cl/casas-modulares/</x:t>
        </x:is>
      </x:c>
      <x:c r="AH94" s="10" t="inlineStr">
        <x:is>
          <x:t xml:space="preserve">Estructura: Módulos de acero + paneles SIP; muros Acero galvanizado o madera laminada + panel SIP MgO/OSB de 140 mm con aislación Lana mineral 75-100 mm o EPS integrado (90 mm); cubierta Módulo volumétrico con cubierta panelizada de 140 mm; ventanas Aluminio termopanel; revestimiento exterior Madera tratada; interior Yeso cartón RH; fundación sugerida Dados de hormigón.</x:t>
        </x:is>
      </x:c>
    </x:row>
    <x:row r="95" ht="32" customHeight="1">
      <x:c r="A95" s="9" t="inlineStr">
        <x:is>
          <x:t xml:space="preserve">MOD-0094</x:t>
        </x:is>
      </x:c>
      <x:c r="B95" s="9" t="inlineStr">
        <x:is>
          <x:t xml:space="preserve">EMP-019</x:t>
        </x:is>
      </x:c>
      <x:c r="C95" s="9" t="inlineStr">
        <x:is>
          <x:t xml:space="preserve">Paine 168</x:t>
        </x:is>
      </x:c>
      <x:c r="D95" s="9" t="inlineStr">
        <x:is>
          <x:t xml:space="preserve">Paine</x:t>
        </x:is>
      </x:c>
      <x:c r="E95" s="9" t="inlineStr">
        <x:is>
          <x:t xml:space="preserve">Lago</x:t>
        </x:is>
      </x:c>
      <x:c r="F95" s="9" t="inlineStr">
        <x:is>
          <x:t xml:space="preserve">Sí</x:t>
        </x:is>
      </x:c>
      <x:c r="G95" s="9" t="inlineStr">
        <x:is>
          <x:t xml:space="preserve">SIP</x:t>
        </x:is>
      </x:c>
      <x:c r="H95" s="15" t="n">
        <x:v>168</x:v>
      </x:c>
      <x:c r="I95" s="9" t="n">
        <x:v>4</x:v>
      </x:c>
      <x:c r="J95" s="9" t="n">
        <x:v>3</x:v>
      </x:c>
      <x:c r="K95" s="9" t="n">
        <x:v>2</x:v>
      </x:c>
      <x:c r="L95" s="9" t="n">
        <x:v>4</x:v>
      </x:c>
      <x:c r="M95" s="12" t="n">
        <x:v>2.4</x:v>
      </x:c>
      <x:c r="N95" s="9" t="inlineStr">
        <x:is>
          <x:t xml:space="preserve">Panel SIP estructural con uniones en pino seco</x:t>
        </x:is>
      </x:c>
      <x:c r="O95" s="10" t="inlineStr">
        <x:is>
          <x:t xml:space="preserve">2 placas OSB estructural + núcleo EPS alta densidad</x:t>
        </x:is>
      </x:c>
      <x:c r="P95" s="15" t="n">
        <x:v>130</x:v>
      </x:c>
      <x:c r="Q95" s="9" t="inlineStr">
        <x:is>
          <x:t xml:space="preserve">EPS alta densidad 15 kg/m³</x:t>
        </x:is>
      </x:c>
      <x:c r="R95" s="15" t="n">
        <x:v>53</x:v>
      </x:c>
      <x:c r="S95" s="10" t="inlineStr">
        <x:is>
          <x:t xml:space="preserve">Panel SIP de cubierta + membrana hidrófuga + hojalatería</x:t>
        </x:is>
      </x:c>
      <x:c r="T95" s="15" t="n">
        <x:v>130</x:v>
      </x:c>
      <x:c r="U95" s="10" t="inlineStr">
        <x:is>
          <x:t xml:space="preserve">EPS integrado + sellos PU</x:t>
        </x:is>
      </x:c>
      <x:c r="V95" s="9" t="inlineStr">
        <x:is>
          <x:t xml:space="preserve">Base entramado madera o radier con barrera de humedad</x:t>
        </x:is>
      </x:c>
      <x:c r="W95" s="10" t="inlineStr">
        <x:is>
          <x:t xml:space="preserve">Aislación bajo piso PET o lana mineral 50-100 mm</x:t>
        </x:is>
      </x:c>
      <x:c r="X95" s="9" t="inlineStr">
        <x:is>
          <x:t xml:space="preserve">Aluminio con termopanel</x:t>
        </x:is>
      </x:c>
      <x:c r="Y95" s="9" t="inlineStr">
        <x:is>
          <x:t xml:space="preserve">Madera tratada</x:t>
        </x:is>
      </x:c>
      <x:c r="Z95" s="9" t="inlineStr">
        <x:is>
          <x:t xml:space="preserve">Yeso cartón RH en zonas húmedas</x:t>
        </x:is>
      </x:c>
      <x:c r="AA95" s="9" t="inlineStr">
        <x:is>
          <x:t xml:space="preserve">Pilotes metálicos</x:t>
        </x:is>
      </x:c>
      <x:c r="AB95" s="15" t="n">
        <x:v>6</x:v>
      </x:c>
      <x:c r="AC95" s="15" t="n">
        <x:v>10</x:v>
      </x:c>
      <x:c r="AD95" s="9" t="inlineStr">
        <x:is>
          <x:t xml:space="preserve">Primera vivienda</x:t>
        </x:is>
      </x:c>
      <x:c r="AE95" s="9" t="inlineStr">
        <x:is>
          <x:t xml:space="preserve">Centro templado</x:t>
        </x:is>
      </x:c>
      <x:c r="AF95" s="10" t="inlineStr">
        <x:is>
          <x:t xml:space="preserve">NCh3393:2016 (referencial para paneles SIP)</x:t>
        </x:is>
      </x:c>
      <x:c r="AG95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95" s="10" t="inlineStr">
        <x:is>
          <x:t xml:space="preserve">Estructura: Panel SIP estructural OSB/EPS/OSB; muros 2 placas OSB estructural + núcleo EPS alta densidad de 130 mm con aislación EPS alta densidad 15 kg/m³ (53 mm); cubierta Panel SIP de cubierta + membrana hidrófuga + hojalatería de 130 mm; ventanas PVC DVH; revestimiento exterior Smart Panel; interior OSB sellado y pintado; fundación sugerida Sobrecimientos y radier.</x:t>
        </x:is>
      </x:c>
    </x:row>
    <x:row r="96" ht="32" customHeight="1">
      <x:c r="A96" s="9" t="inlineStr">
        <x:is>
          <x:t xml:space="preserve">MOD-0095</x:t>
        </x:is>
      </x:c>
      <x:c r="B96" s="9" t="inlineStr">
        <x:is>
          <x:t xml:space="preserve">EMP-019</x:t>
        </x:is>
      </x:c>
      <x:c r="C96" s="9" t="inlineStr">
        <x:is>
          <x:t xml:space="preserve">Buin 176</x:t>
        </x:is>
      </x:c>
      <x:c r="D96" s="9" t="inlineStr">
        <x:is>
          <x:t xml:space="preserve">Buin</x:t>
        </x:is>
      </x:c>
      <x:c r="E96" s="9" t="inlineStr">
        <x:is>
          <x:t xml:space="preserve">Comuna</x:t>
        </x:is>
      </x:c>
      <x:c r="F96" s="9" t="inlineStr">
        <x:is>
          <x:t xml:space="preserve">Sí</x:t>
        </x:is>
      </x:c>
      <x:c r="G96" s="9" t="inlineStr">
        <x:is>
          <x:t xml:space="preserve">STEEL_FRAME</x:t>
        </x:is>
      </x:c>
      <x:c r="H96" s="15" t="n">
        <x:v>176</x:v>
      </x:c>
      <x:c r="I96" s="9" t="n">
        <x:v>4</x:v>
      </x:c>
      <x:c r="J96" s="9" t="n">
        <x:v>3</x:v>
      </x:c>
      <x:c r="K96" s="9" t="n">
        <x:v>2</x:v>
      </x:c>
      <x:c r="L96" s="9" t="n">
        <x:v>4</x:v>
      </x:c>
      <x:c r="M96" s="12" t="n">
        <x:v>2.4</x:v>
      </x:c>
      <x:c r="N96" s="9" t="inlineStr">
        <x:is>
          <x:t xml:space="preserve">Panelizado steel frame industrializado</x:t>
        </x:is>
      </x:c>
      <x:c r="O96" s="10" t="inlineStr">
        <x:is>
          <x:t xml:space="preserve">Acero galvanizado + placa OSB/fibrocemento + cámara técnica</x:t>
        </x:is>
      </x:c>
      <x:c r="P96" s="15" t="n">
        <x:v>140</x:v>
      </x:c>
      <x:c r="Q96" s="9" t="inlineStr">
        <x:is>
          <x:t xml:space="preserve">Lana mineral o lana de roca / PET / EPS según zona térmica</x:t>
        </x:is>
      </x:c>
      <x:c r="R96" s="15" t="n">
        <x:v>100</x:v>
      </x:c>
      <x:c r="S96" s="10" t="inlineStr">
        <x:is>
          <x:t xml:space="preserve">Cerchas o paneles steel frame + cubierta metálica</x:t>
        </x:is>
      </x:c>
      <x:c r="T96" s="15" t="n">
        <x:v>150</x:v>
      </x:c>
      <x:c r="U96" s="10" t="inlineStr">
        <x:is>
          <x:t xml:space="preserve">Lana mineral / lana de roca + barrera de vapor</x:t>
        </x:is>
      </x:c>
      <x:c r="V96" s="9" t="inlineStr">
        <x:is>
          <x:t xml:space="preserve">Envigado metálico o plataforma estructural</x:t>
        </x:is>
      </x:c>
      <x:c r="W96" s="10" t="inlineStr">
        <x:is>
          <x:t xml:space="preserve">Lana mineral 50-100 mm + placas estructurales</x:t>
        </x:is>
      </x:c>
      <x:c r="X96" s="9" t="inlineStr">
        <x:is>
          <x:t xml:space="preserve">PVC termopanel</x:t>
        </x:is>
      </x:c>
      <x:c r="Y96" s="9" t="inlineStr">
        <x:is>
          <x:t xml:space="preserve">Siding fibrocemento</x:t>
        </x:is>
      </x:c>
      <x:c r="Z96" s="9" t="inlineStr">
        <x:is>
          <x:t xml:space="preserve">Yeso cartón RF</x:t>
        </x:is>
      </x:c>
      <x:c r="AA96" s="9" t="inlineStr">
        <x:is>
          <x:t xml:space="preserve">Radier reforzado</x:t>
        </x:is>
      </x:c>
      <x:c r="AB96" s="15" t="n">
        <x:v>7</x:v>
      </x:c>
      <x:c r="AC96" s="15" t="n">
        <x:v>7</x:v>
      </x:c>
      <x:c r="AD96" s="9" t="inlineStr">
        <x:is>
          <x:t xml:space="preserve">Loteo habitacional</x:t>
        </x:is>
      </x:c>
      <x:c r="AE96" s="9" t="inlineStr">
        <x:is>
          <x:t xml:space="preserve">Centro templado</x:t>
        </x:is>
      </x:c>
      <x:c r="AF96" s="10" t="inlineStr">
        <x:is>
          <x:t xml:space="preserve">Criterio térmico referencial OGUC / reglamentación térmica vigente</x:t>
        </x:is>
      </x:c>
      <x:c r="AG96" s="10" t="inlineStr">
        <x:is>
          <x:t xml:space="preserve">https://www.steelframe.cl/ | https://vhaceros.cl/blog/steel-framing-principios-estructurales-y-ventajas-en-la-construccion-chilena/</x:t>
        </x:is>
      </x:c>
      <x:c r="AH96" s="10" t="inlineStr">
        <x:is>
          <x:t xml:space="preserve">Estructura: Panelizado steel frame industrializado; muros Acero galvanizado + placa OSB/fibrocemento + cámara técnica de 140 mm con aislación Lana mineral o lana de roca / PET / EPS según zona térmica (100 mm); cubierta Cerchas o paneles steel frame + cubierta metálica de 150 mm; ventanas Aluminio RPT termopanel; revestimiento exterior Siding fibrocemento; interior MDF pintado; fundación sugerida Vigas de fundación y radier.</x:t>
        </x:is>
      </x:c>
    </x:row>
    <x:row r="97" ht="32" customHeight="1">
      <x:c r="A97" s="9" t="inlineStr">
        <x:is>
          <x:t xml:space="preserve">MOD-0096</x:t>
        </x:is>
      </x:c>
      <x:c r="B97" s="9" t="inlineStr">
        <x:is>
          <x:t xml:space="preserve">EMP-020</x:t>
        </x:is>
      </x:c>
      <x:c r="C97" s="9" t="inlineStr">
        <x:is>
          <x:t xml:space="preserve">Colchagua 48</x:t>
        </x:is>
      </x:c>
      <x:c r="D97" s="9" t="inlineStr">
        <x:is>
          <x:t xml:space="preserve">Colchagua</x:t>
        </x:is>
      </x:c>
      <x:c r="E97" s="9" t="inlineStr">
        <x:is>
          <x:t xml:space="preserve">Lago</x:t>
        </x:is>
      </x:c>
      <x:c r="F97" s="9" t="inlineStr">
        <x:is>
          <x:t xml:space="preserve">Sí</x:t>
        </x:is>
      </x:c>
      <x:c r="G97" s="9" t="inlineStr">
        <x:is>
          <x:t xml:space="preserve">STEEL_FRAME</x:t>
        </x:is>
      </x:c>
      <x:c r="H97" s="15" t="n">
        <x:v>48</x:v>
      </x:c>
      <x:c r="I97" s="9" t="n">
        <x:v>2</x:v>
      </x:c>
      <x:c r="J97" s="9" t="n">
        <x:v>1</x:v>
      </x:c>
      <x:c r="K97" s="9" t="n">
        <x:v>1</x:v>
      </x:c>
      <x:c r="L97" s="9" t="n">
        <x:v>2</x:v>
      </x:c>
      <x:c r="M97" s="12" t="n">
        <x:v>2.5</x:v>
      </x:c>
      <x:c r="N97" s="9" t="inlineStr">
        <x:is>
          <x:t xml:space="preserve">Panelizado steel frame industrializado</x:t>
        </x:is>
      </x:c>
      <x:c r="O97" s="10" t="inlineStr">
        <x:is>
          <x:t xml:space="preserve">Acero galvanizado + placa OSB/fibrocemento + cámara técnica</x:t>
        </x:is>
      </x:c>
      <x:c r="P97" s="15" t="n">
        <x:v>160</x:v>
      </x:c>
      <x:c r="Q97" s="9" t="inlineStr">
        <x:is>
          <x:t xml:space="preserve">Lana mineral o lana de roca / PET / EPS según zona térmica</x:t>
        </x:is>
      </x:c>
      <x:c r="R97" s="15" t="n">
        <x:v>90</x:v>
      </x:c>
      <x:c r="S97" s="10" t="inlineStr">
        <x:is>
          <x:t xml:space="preserve">Cerchas o paneles steel frame + cubierta metálica</x:t>
        </x:is>
      </x:c>
      <x:c r="T97" s="15" t="n">
        <x:v>150</x:v>
      </x:c>
      <x:c r="U97" s="10" t="inlineStr">
        <x:is>
          <x:t xml:space="preserve">Lana mineral / lana de roca + barrera de vapor</x:t>
        </x:is>
      </x:c>
      <x:c r="V97" s="9" t="inlineStr">
        <x:is>
          <x:t xml:space="preserve">Envigado metálico o plataforma estructural</x:t>
        </x:is>
      </x:c>
      <x:c r="W97" s="10" t="inlineStr">
        <x:is>
          <x:t xml:space="preserve">Lana mineral 50-100 mm + placas estructurales</x:t>
        </x:is>
      </x:c>
      <x:c r="X97" s="9" t="inlineStr">
        <x:is>
          <x:t xml:space="preserve">PVC termopanel</x:t>
        </x:is>
      </x:c>
      <x:c r="Y97" s="9" t="inlineStr">
        <x:is>
          <x:t xml:space="preserve">Plancha metálica</x:t>
        </x:is>
      </x:c>
      <x:c r="Z97" s="9" t="inlineStr">
        <x:is>
          <x:t xml:space="preserve">Yeso cartón RF</x:t>
        </x:is>
      </x:c>
      <x:c r="AA97" s="9" t="inlineStr">
        <x:is>
          <x:t xml:space="preserve">Pilotes</x:t>
        </x:is>
      </x:c>
      <x:c r="AB97" s="15" t="n">
        <x:v>6</x:v>
      </x:c>
      <x:c r="AC97" s="15" t="n">
        <x:v>12</x:v>
      </x:c>
      <x:c r="AD97" s="9" t="inlineStr">
        <x:is>
          <x:t xml:space="preserve">Turismo / arriendo</x:t>
        </x:is>
      </x:c>
      <x:c r="AE97" s="9" t="inlineStr">
        <x:is>
          <x:t xml:space="preserve">Centro templado</x:t>
        </x:is>
      </x:c>
      <x:c r="AF97" s="10" t="inlineStr">
        <x:is>
          <x:t xml:space="preserve">Criterio térmico referencial OGUC / reglamentación térmica vigente</x:t>
        </x:is>
      </x:c>
      <x:c r="AG97" s="10" t="inlineStr">
        <x:is>
          <x:t xml:space="preserve">https://www.steelframe.cl/ | https://vhaceros.cl/blog/steel-framing-principios-estructurales-y-ventajas-en-la-construccion-chilena/</x:t>
        </x:is>
      </x:c>
      <x:c r="AH97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(90 mm); cubierta Cerchas o paneles steel frame + cubierta metálica de 150 mm; ventanas Aluminio RPT termopanel; revestimiento exterior Plancha metálica; interior MDF pintado; fundación sugerida Vigas de fundación y radier.</x:t>
        </x:is>
      </x:c>
    </x:row>
    <x:row r="98" ht="32" customHeight="1">
      <x:c r="A98" s="9" t="inlineStr">
        <x:is>
          <x:t xml:space="preserve">MOD-0097</x:t>
        </x:is>
      </x:c>
      <x:c r="B98" s="9" t="inlineStr">
        <x:is>
          <x:t xml:space="preserve">EMP-020</x:t>
        </x:is>
      </x:c>
      <x:c r="C98" s="9" t="inlineStr">
        <x:is>
          <x:t xml:space="preserve">Cochamó 112</x:t>
        </x:is>
      </x:c>
      <x:c r="D98" s="9" t="inlineStr">
        <x:is>
          <x:t xml:space="preserve">Cochamó</x:t>
        </x:is>
      </x:c>
      <x:c r="E98" s="9" t="inlineStr">
        <x:is>
          <x:t xml:space="preserve">Volcán</x:t>
        </x:is>
      </x:c>
      <x:c r="F98" s="9" t="inlineStr">
        <x:is>
          <x:t xml:space="preserve">Sí</x:t>
        </x:is>
      </x:c>
      <x:c r="G98" s="9" t="inlineStr">
        <x:is>
          <x:t xml:space="preserve">STEEL_FRAME</x:t>
        </x:is>
      </x:c>
      <x:c r="H98" s="15" t="n">
        <x:v>112</x:v>
      </x:c>
      <x:c r="I98" s="9" t="n">
        <x:v>3</x:v>
      </x:c>
      <x:c r="J98" s="9" t="n">
        <x:v>2</x:v>
      </x:c>
      <x:c r="K98" s="9" t="n">
        <x:v>1</x:v>
      </x:c>
      <x:c r="L98" s="9" t="n">
        <x:v>3</x:v>
      </x:c>
      <x:c r="M98" s="12" t="n">
        <x:v>2.4</x:v>
      </x:c>
      <x:c r="N98" s="9" t="inlineStr">
        <x:is>
          <x:t xml:space="preserve">Perfilería de acero galvanizado liviano</x:t>
        </x:is>
      </x:c>
      <x:c r="O98" s="10" t="inlineStr">
        <x:is>
          <x:t xml:space="preserve">Acero galvanizado + placa OSB/fibrocemento + cámara técnica</x:t>
        </x:is>
      </x:c>
      <x:c r="P98" s="15" t="n">
        <x:v>160</x:v>
      </x:c>
      <x:c r="Q98" s="9" t="inlineStr">
        <x:is>
          <x:t xml:space="preserve">Lana mineral o lana de roca / PET / EPS según zona térmica</x:t>
        </x:is>
      </x:c>
      <x:c r="R98" s="15" t="n">
        <x:v>80</x:v>
      </x:c>
      <x:c r="S98" s="10" t="inlineStr">
        <x:is>
          <x:t xml:space="preserve">Cerchas o paneles steel frame + cubierta metálica</x:t>
        </x:is>
      </x:c>
      <x:c r="T98" s="15" t="n">
        <x:v>150</x:v>
      </x:c>
      <x:c r="U98" s="10" t="inlineStr">
        <x:is>
          <x:t xml:space="preserve">Lana mineral / lana de roca + barrera de vapor</x:t>
        </x:is>
      </x:c>
      <x:c r="V98" s="9" t="inlineStr">
        <x:is>
          <x:t xml:space="preserve">Envigado metálico o plataforma estructural</x:t>
        </x:is>
      </x:c>
      <x:c r="W98" s="10" t="inlineStr">
        <x:is>
          <x:t xml:space="preserve">Lana mineral 50-100 mm + placas estructurales</x:t>
        </x:is>
      </x:c>
      <x:c r="X98" s="9" t="inlineStr">
        <x:is>
          <x:t xml:space="preserve">Aluminio RPT termopanel</x:t>
        </x:is>
      </x:c>
      <x:c r="Y98" s="9" t="inlineStr">
        <x:is>
          <x:t xml:space="preserve">Estuco sobre placa cementicia</x:t>
        </x:is>
      </x:c>
      <x:c r="Z98" s="9" t="inlineStr">
        <x:is>
          <x:t xml:space="preserve">Yeso cartón</x:t>
        </x:is>
      </x:c>
      <x:c r="AA98" s="9" t="inlineStr">
        <x:is>
          <x:t xml:space="preserve">Pilotes</x:t>
        </x:is>
      </x:c>
      <x:c r="AB98" s="15" t="n">
        <x:v>7</x:v>
      </x:c>
      <x:c r="AC98" s="15" t="n">
        <x:v>10</x:v>
      </x:c>
      <x:c r="AD98" s="9" t="inlineStr">
        <x:is>
          <x:t xml:space="preserve">Cabaña permanente</x:t>
        </x:is>
      </x:c>
      <x:c r="AE98" s="9" t="inlineStr">
        <x:is>
          <x:t xml:space="preserve">Centro templado</x:t>
        </x:is>
      </x:c>
      <x:c r="AF98" s="10" t="inlineStr">
        <x:is>
          <x:t xml:space="preserve">Criterio térmico referencial OGUC / reglamentación térmica vigente</x:t>
        </x:is>
      </x:c>
      <x:c r="AG98" s="10" t="inlineStr">
        <x:is>
          <x:t xml:space="preserve">https://www.steelframe.cl/ | https://vhaceros.cl/blog/steel-framing-principios-estructurales-y-ventajas-en-la-construccion-chilena/</x:t>
        </x:is>
      </x:c>
      <x:c r="AH98" s="10" t="inlineStr">
        <x:is>
          <x:t xml:space="preserve">Estructura: Panelizado steel frame industrializado; muros Acero galvanizado + placa OSB/fibrocemento + cámara técnica de 160 mm con aislación Lana mineral o lana de roca / PET / EPS según zona térmica (80 mm); cubierta Cerchas o paneles steel frame + cubierta metálica de 150 mm; ventanas Aluminio RPT termopanel; revestimiento exterior Siding fibrocemento; interior MDF pintado; fundación sugerida Radier reforzado.</x:t>
        </x:is>
      </x:c>
    </x:row>
    <x:row r="99" ht="32" customHeight="1">
      <x:c r="A99" s="9" t="inlineStr">
        <x:is>
          <x:t xml:space="preserve">MOD-0098</x:t>
        </x:is>
      </x:c>
      <x:c r="B99" s="9" t="inlineStr">
        <x:is>
          <x:t xml:space="preserve">EMP-020</x:t>
        </x:is>
      </x:c>
      <x:c r="C99" s="9" t="inlineStr">
        <x:is>
          <x:t xml:space="preserve">Chaitén 88</x:t>
        </x:is>
      </x:c>
      <x:c r="D99" s="9" t="inlineStr">
        <x:is>
          <x:t xml:space="preserve">Chaitén</x:t>
        </x:is>
      </x:c>
      <x:c r="E99" s="9" t="inlineStr">
        <x:is>
          <x:t xml:space="preserve">Valle</x:t>
        </x:is>
      </x:c>
      <x:c r="F99" s="9" t="inlineStr">
        <x:is>
          <x:t xml:space="preserve">Sí</x:t>
        </x:is>
      </x:c>
      <x:c r="G99" s="9" t="inlineStr">
        <x:is>
          <x:t xml:space="preserve">SIP</x:t>
        </x:is>
      </x:c>
      <x:c r="H99" s="15" t="n">
        <x:v>88</x:v>
      </x:c>
      <x:c r="I99" s="9" t="n">
        <x:v>3</x:v>
      </x:c>
      <x:c r="J99" s="9" t="n">
        <x:v>2</x:v>
      </x:c>
      <x:c r="K99" s="9" t="n">
        <x:v>1</x:v>
      </x:c>
      <x:c r="L99" s="9" t="n">
        <x:v>3</x:v>
      </x:c>
      <x:c r="M99" s="12" t="n">
        <x:v>2.5</x:v>
      </x:c>
      <x:c r="N99" s="9" t="inlineStr">
        <x:is>
          <x:t xml:space="preserve">Panel SIP estructural OSB/EPS/OSB</x:t>
        </x:is>
      </x:c>
      <x:c r="O99" s="10" t="inlineStr">
        <x:is>
          <x:t xml:space="preserve">2 placas OSB estructural + núcleo EPS alta densidad</x:t>
        </x:is>
      </x:c>
      <x:c r="P99" s="15" t="n">
        <x:v>75</x:v>
      </x:c>
      <x:c r="Q99" s="9" t="inlineStr">
        <x:is>
          <x:t xml:space="preserve">EPS alta densidad 15 kg/m³</x:t>
        </x:is>
      </x:c>
      <x:c r="R99" s="15" t="n">
        <x:v>105</x:v>
      </x:c>
      <x:c r="S99" s="10" t="inlineStr">
        <x:is>
          <x:t xml:space="preserve">Panel SIP de cubierta + membrana hidrófuga + hojalatería</x:t>
        </x:is>
      </x:c>
      <x:c r="T99" s="15" t="n">
        <x:v>164</x:v>
      </x:c>
      <x:c r="U99" s="10" t="inlineStr">
        <x:is>
          <x:t xml:space="preserve">EPS integrado + sellos PU</x:t>
        </x:is>
      </x:c>
      <x:c r="V99" s="9" t="inlineStr">
        <x:is>
          <x:t xml:space="preserve">Base entramado madera o radier con barrera de humedad</x:t>
        </x:is>
      </x:c>
      <x:c r="W99" s="10" t="inlineStr">
        <x:is>
          <x:t xml:space="preserve">Aislación bajo piso PET o lana mineral 50-100 mm</x:t>
        </x:is>
      </x:c>
      <x:c r="X99" s="9" t="inlineStr">
        <x:is>
          <x:t xml:space="preserve">Aluminio con termopanel</x:t>
        </x:is>
      </x:c>
      <x:c r="Y99" s="9" t="inlineStr">
        <x:is>
          <x:t xml:space="preserve">Plancha metálica prepintada</x:t>
        </x:is>
      </x:c>
      <x:c r="Z99" s="9" t="inlineStr">
        <x:is>
          <x:t xml:space="preserve">Yeso cartón RH en zonas húmedas</x:t>
        </x:is>
      </x:c>
      <x:c r="AA99" s="9" t="inlineStr">
        <x:is>
          <x:t xml:space="preserve">Sobrecimientos y radier</x:t>
        </x:is>
      </x:c>
      <x:c r="AB99" s="15" t="n">
        <x:v>6</x:v>
      </x:c>
      <x:c r="AC99" s="15" t="n">
        <x:v>6</x:v>
      </x:c>
      <x:c r="AD99" s="9" t="inlineStr">
        <x:is>
          <x:t xml:space="preserve">Oficina + vivienda</x:t>
        </x:is>
      </x:c>
      <x:c r="AE99" s="9" t="inlineStr">
        <x:is>
          <x:t xml:space="preserve">Centro templado</x:t>
        </x:is>
      </x:c>
      <x:c r="AF99" s="10" t="inlineStr">
        <x:is>
          <x:t xml:space="preserve">NCh3393:2016 (referencial para paneles SIP)</x:t>
        </x:is>
      </x:c>
      <x:c r="AG9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99" s="10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164 mm; ventanas PVC termopanel; revestimiento exterior Madera tratada; interior OSB sellado y pintado; fundación sugerida Sobrecimientos y radier.</x:t>
        </x:is>
      </x:c>
    </x:row>
    <x:row r="100" ht="32" customHeight="1">
      <x:c r="A100" s="9" t="inlineStr">
        <x:is>
          <x:t xml:space="preserve">MOD-0099</x:t>
        </x:is>
      </x:c>
      <x:c r="B100" s="9" t="inlineStr">
        <x:is>
          <x:t xml:space="preserve">EMP-020</x:t>
        </x:is>
      </x:c>
      <x:c r="C100" s="9" t="inlineStr">
        <x:is>
          <x:t xml:space="preserve">Hornopirén 120</x:t>
        </x:is>
      </x:c>
      <x:c r="D100" s="9" t="inlineStr">
        <x:is>
          <x:t xml:space="preserve">Hornopirén</x:t>
        </x:is>
      </x:c>
      <x:c r="E100" s="9" t="inlineStr">
        <x:is>
          <x:t xml:space="preserve">Río</x:t>
        </x:is>
      </x:c>
      <x:c r="F100" s="9" t="inlineStr">
        <x:is>
          <x:t xml:space="preserve">Sí</x:t>
        </x:is>
      </x:c>
      <x:c r="G100" s="9" t="inlineStr">
        <x:is>
          <x:t xml:space="preserve">MODULAR_TIMBER</x:t>
        </x:is>
      </x:c>
      <x:c r="H100" s="15" t="n">
        <x:v>120</x:v>
      </x:c>
      <x:c r="I100" s="9" t="n">
        <x:v>3</x:v>
      </x:c>
      <x:c r="J100" s="9" t="n">
        <x:v>2</x:v>
      </x:c>
      <x:c r="K100" s="9" t="n">
        <x:v>1</x:v>
      </x:c>
      <x:c r="L100" s="9" t="n">
        <x:v>3</x:v>
      </x:c>
      <x:c r="M100" s="12" t="n">
        <x:v>2.5</x:v>
      </x:c>
      <x:c r="N100" s="9" t="inlineStr">
        <x:is>
          <x:t xml:space="preserve">Wood frame modular</x:t>
        </x:is>
      </x:c>
      <x:c r="O100" s="10" t="inlineStr">
        <x:is>
          <x:t xml:space="preserve">Madera estructural + OSB / terciado + barrera hidrófuga</x:t>
        </x:is>
      </x:c>
      <x:c r="P100" s="15" t="n">
        <x:v>120</x:v>
      </x:c>
      <x:c r="Q100" s="9" t="inlineStr">
        <x:is>
          <x:t xml:space="preserve">Lana mineral / lana de vidrio / PET reciclado</x:t>
        </x:is>
      </x:c>
      <x:c r="R100" s="15" t="n">
        <x:v>60</x:v>
      </x:c>
      <x:c r="S100" s="10" t="inlineStr">
        <x:is>
          <x:t xml:space="preserve">Cercha de madera + cubierta metálica o tejuela asfáltica</x:t>
        </x:is>
      </x:c>
      <x:c r="T100" s="15" t="n">
        <x:v>120</x:v>
      </x:c>
      <x:c r="U100" s="10" t="inlineStr">
        <x:is>
          <x:t xml:space="preserve">Lana mineral 80-140 mm + membrana</x:t>
        </x:is>
      </x:c>
      <x:c r="V100" s="9" t="inlineStr">
        <x:is>
          <x:t xml:space="preserve">Plataforma de madera estructural o radier</x:t>
        </x:is>
      </x:c>
      <x:c r="W100" s="10" t="inlineStr">
        <x:is>
          <x:t xml:space="preserve">Lana mineral 50-100 mm / barrera humedad</x:t>
        </x:is>
      </x:c>
      <x:c r="X100" s="9" t="inlineStr">
        <x:is>
          <x:t xml:space="preserve">Aluminio termopanel</x:t>
        </x:is>
      </x:c>
      <x:c r="Y100" s="9" t="inlineStr">
        <x:is>
          <x:t xml:space="preserve">Smart Panel</x:t>
        </x:is>
      </x:c>
      <x:c r="Z100" s="9" t="inlineStr">
        <x:is>
          <x:t xml:space="preserve">Yeso cartón</x:t>
        </x:is>
      </x:c>
      <x:c r="AA100" s="9" t="inlineStr">
        <x:is>
          <x:t xml:space="preserve">Pilotes</x:t>
        </x:is>
      </x:c>
      <x:c r="AB100" s="15" t="n">
        <x:v>5</x:v>
      </x:c>
      <x:c r="AC100" s="15" t="n">
        <x:v>17</x:v>
      </x:c>
      <x:c r="AD100" s="9" t="inlineStr">
        <x:is>
          <x:t xml:space="preserve">Parcela</x:t>
        </x:is>
      </x:c>
      <x:c r="AE100" s="9" t="inlineStr">
        <x:is>
          <x:t xml:space="preserve">Centro templado</x:t>
        </x:is>
      </x:c>
      <x:c r="AF100" s="10" t="inlineStr">
        <x:is>
          <x:t xml:space="preserve">Especificaciones técnicas de vivienda industrializada en madera (referencial)</x:t>
        </x:is>
      </x:c>
      <x:c r="AG100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00" s="10" t="inlineStr">
        <x:is>
          <x:t xml:space="preserve">Estructura: Madera laminada y entramado ligero; muros Madera estructural + OSB / terciado + barrera hidrófuga de 120 mm con aislación Lana mineral / lana de vidrio / PET reciclado (60 mm); cubierta Cercha de madera + cubierta metálica o tejuela asfáltica de 120 mm; ventanas Aluminio termopanel; revestimiento exterior Smart Panel; interior Terciado pintado; fundación sugerida Radier.</x:t>
        </x:is>
      </x:c>
    </x:row>
    <x:row r="101" ht="32" customHeight="1">
      <x:c r="A101" s="9" t="inlineStr">
        <x:is>
          <x:t xml:space="preserve">MOD-0100</x:t>
        </x:is>
      </x:c>
      <x:c r="B101" s="9" t="inlineStr">
        <x:is>
          <x:t xml:space="preserve">EMP-020</x:t>
        </x:is>
      </x:c>
      <x:c r="C101" s="9" t="inlineStr">
        <x:is>
          <x:t xml:space="preserve">Fresia 176</x:t>
        </x:is>
      </x:c>
      <x:c r="D101" s="9" t="inlineStr">
        <x:is>
          <x:t xml:space="preserve">Fresia</x:t>
        </x:is>
      </x:c>
      <x:c r="E101" s="9" t="inlineStr">
        <x:is>
          <x:t xml:space="preserve">Ciudad</x:t>
        </x:is>
      </x:c>
      <x:c r="F101" s="9" t="inlineStr">
        <x:is>
          <x:t xml:space="preserve">Sí</x:t>
        </x:is>
      </x:c>
      <x:c r="G101" s="9" t="inlineStr">
        <x:is>
          <x:t xml:space="preserve">HYBRID_MODULAR</x:t>
        </x:is>
      </x:c>
      <x:c r="H101" s="15" t="n">
        <x:v>176</x:v>
      </x:c>
      <x:c r="I101" s="9" t="n">
        <x:v>4</x:v>
      </x:c>
      <x:c r="J101" s="9" t="n">
        <x:v>3</x:v>
      </x:c>
      <x:c r="K101" s="9" t="n">
        <x:v>1</x:v>
      </x:c>
      <x:c r="L101" s="9" t="n">
        <x:v>4</x:v>
      </x:c>
      <x:c r="M101" s="12" t="n">
        <x:v>2.5</x:v>
      </x:c>
      <x:c r="N101" s="9" t="inlineStr">
        <x:is>
          <x:t xml:space="preserve">Módulos de acero + paneles SIP</x:t>
        </x:is>
      </x:c>
      <x:c r="O101" s="10" t="inlineStr">
        <x:is>
          <x:t xml:space="preserve">Acero galvanizado o madera laminada + panel SIP MgO/OSB</x:t>
        </x:is>
      </x:c>
      <x:c r="P101" s="15" t="n">
        <x:v>160</x:v>
      </x:c>
      <x:c r="Q101" s="9" t="inlineStr">
        <x:is>
          <x:t xml:space="preserve">Lana mineral 75-100 mm o EPS integrado</x:t>
        </x:is>
      </x:c>
      <x:c r="R101" s="15" t="n">
        <x:v>90</x:v>
      </x:c>
      <x:c r="S101" s="10" t="inlineStr">
        <x:is>
          <x:t xml:space="preserve">Módulo volumétrico con cubierta panelizada</x:t>
        </x:is>
      </x:c>
      <x:c r="T101" s="15" t="n">
        <x:v>160</x:v>
      </x:c>
      <x:c r="U101" s="10" t="inlineStr">
        <x:is>
          <x:t xml:space="preserve">Lana mineral / EPS / barrera vapor</x:t>
        </x:is>
      </x:c>
      <x:c r="V101" s="9" t="inlineStr">
        <x:is>
          <x:t xml:space="preserve">Bastidor metálico o madera laminada</x:t>
        </x:is>
      </x:c>
      <x:c r="W101" s="10" t="inlineStr">
        <x:is>
          <x:t xml:space="preserve">Lana mineral 80-100 mm + fibrocemento</x:t>
        </x:is>
      </x:c>
      <x:c r="X101" s="9" t="inlineStr">
        <x:is>
          <x:t xml:space="preserve">PVC termopanel</x:t>
        </x:is>
      </x:c>
      <x:c r="Y101" s="9" t="inlineStr">
        <x:is>
          <x:t xml:space="preserve">Plancha metálica</x:t>
        </x:is>
      </x:c>
      <x:c r="Z101" s="9" t="inlineStr">
        <x:is>
          <x:t xml:space="preserve">Yeso cartón pintado</x:t>
        </x:is>
      </x:c>
      <x:c r="AA101" s="9" t="inlineStr">
        <x:is>
          <x:t xml:space="preserve">Radier</x:t>
        </x:is>
      </x:c>
      <x:c r="AB101" s="15" t="n">
        <x:v>8</x:v>
      </x:c>
      <x:c r="AC101" s="15" t="n">
        <x:v>10</x:v>
      </x:c>
      <x:c r="AD101" s="9" t="inlineStr">
        <x:is>
          <x:t xml:space="preserve">Parcela</x:t>
        </x:is>
      </x:c>
      <x:c r="AE101" s="9" t="inlineStr">
        <x:is>
          <x:t xml:space="preserve">Centro templado</x:t>
        </x:is>
      </x:c>
      <x:c r="AF101" s="10" t="inlineStr">
        <x:is>
          <x:t xml:space="preserve">Criterios de prefabricación modular y coordinación BIM (referencial)</x:t>
        </x:is>
      </x:c>
      <x:c r="AG101" s="10" t="inlineStr">
        <x:is>
          <x:t xml:space="preserve">https://modul.cl/construccion-de-casas-prefabricadas-modulares/ | https://tecnofasthome.cl/casas-modulares/</x:t>
        </x:is>
      </x:c>
      <x:c r="AH101" s="10" t="inlineStr">
        <x:is>
          <x:t xml:space="preserve">Estructura: Módulos de acero + paneles SIP; muros Acero galvanizado o madera laminada + panel SIP MgO/OSB de 160 mm con aislación Lana mineral 75-100 mm o EPS integrado (90 mm); cubierta Módulo volumétrico con cubierta panelizada de 160 mm; ventanas Aluminio termopanel; revestimiento exterior Fibrocemento tipo siding; interior Melamina blanca; fundación sugerida Pilotes ajustables.</x:t>
        </x:is>
      </x:c>
    </x:row>
    <x:row r="102" ht="32" customHeight="1">
      <x:c r="A102" s="9" t="inlineStr">
        <x:is>
          <x:t xml:space="preserve">MOD-0101</x:t>
        </x:is>
      </x:c>
      <x:c r="B102" s="9" t="inlineStr">
        <x:is>
          <x:t xml:space="preserve">EMP-021</x:t>
        </x:is>
      </x:c>
      <x:c r="C102" s="9" t="inlineStr">
        <x:is>
          <x:t xml:space="preserve">Alerce 48</x:t>
        </x:is>
      </x:c>
      <x:c r="D102" s="9" t="inlineStr">
        <x:is>
          <x:t xml:space="preserve">Alerce</x:t>
        </x:is>
      </x:c>
      <x:c r="E102" s="9" t="inlineStr">
        <x:is>
          <x:t xml:space="preserve">Río</x:t>
        </x:is>
      </x:c>
      <x:c r="F102" s="9" t="inlineStr">
        <x:is>
          <x:t xml:space="preserve">Sí</x:t>
        </x:is>
      </x:c>
      <x:c r="G102" s="9" t="inlineStr">
        <x:is>
          <x:t xml:space="preserve">SIP</x:t>
        </x:is>
      </x:c>
      <x:c r="H102" s="15" t="n">
        <x:v>48</x:v>
      </x:c>
      <x:c r="I102" s="9" t="n">
        <x:v>2</x:v>
      </x:c>
      <x:c r="J102" s="9" t="n">
        <x:v>1</x:v>
      </x:c>
      <x:c r="K102" s="9" t="n">
        <x:v>1</x:v>
      </x:c>
      <x:c r="L102" s="9" t="n">
        <x:v>2</x:v>
      </x:c>
      <x:c r="M102" s="12" t="n">
        <x:v>2.45</x:v>
      </x:c>
      <x:c r="N102" s="9" t="inlineStr">
        <x:is>
          <x:t xml:space="preserve">Panel SIP estructural OSB/EPS/OSB</x:t>
        </x:is>
      </x:c>
      <x:c r="O102" s="10" t="inlineStr">
        <x:is>
          <x:t xml:space="preserve">2 placas OSB estructural + núcleo EPS alta densidad</x:t>
        </x:is>
      </x:c>
      <x:c r="P102" s="15" t="n">
        <x:v>130</x:v>
      </x:c>
      <x:c r="Q102" s="9" t="inlineStr">
        <x:is>
          <x:t xml:space="preserve">EPS alta densidad 15 kg/m³</x:t>
        </x:is>
      </x:c>
      <x:c r="R102" s="15" t="n">
        <x:v>68</x:v>
      </x:c>
      <x:c r="S102" s="10" t="inlineStr">
        <x:is>
          <x:t xml:space="preserve">Panel SIP de cubierta + membrana hidrófuga + hojalatería</x:t>
        </x:is>
      </x:c>
      <x:c r="T102" s="15" t="n">
        <x:v>164</x:v>
      </x:c>
      <x:c r="U102" s="10" t="inlineStr">
        <x:is>
          <x:t xml:space="preserve">EPS integrado + sellos PU</x:t>
        </x:is>
      </x:c>
      <x:c r="V102" s="9" t="inlineStr">
        <x:is>
          <x:t xml:space="preserve">Base entramado madera o radier con barrera de humedad</x:t>
        </x:is>
      </x:c>
      <x:c r="W102" s="10" t="inlineStr">
        <x:is>
          <x:t xml:space="preserve">Aislación bajo piso PET o lana mineral 50-100 mm</x:t>
        </x:is>
      </x:c>
      <x:c r="X102" s="9" t="inlineStr">
        <x:is>
          <x:t xml:space="preserve">PVC DVH</x:t>
        </x:is>
      </x:c>
      <x:c r="Y102" s="9" t="inlineStr">
        <x:is>
          <x:t xml:space="preserve">Siding fibrocemento</x:t>
        </x:is>
      </x:c>
      <x:c r="Z102" s="9" t="inlineStr">
        <x:is>
          <x:t xml:space="preserve">Yeso cartón pintado</x:t>
        </x:is>
      </x:c>
      <x:c r="AA102" s="9" t="inlineStr">
        <x:is>
          <x:t xml:space="preserve">Fundación corrida</x:t>
        </x:is>
      </x:c>
      <x:c r="AB102" s="15" t="n">
        <x:v>6</x:v>
      </x:c>
      <x:c r="AC102" s="15" t="n">
        <x:v>9</x:v>
      </x:c>
      <x:c r="AD102" s="9" t="inlineStr">
        <x:is>
          <x:t xml:space="preserve">Turismo / arriendo</x:t>
        </x:is>
      </x:c>
      <x:c r="AE102" s="9" t="inlineStr">
        <x:is>
          <x:t xml:space="preserve">Centro templado</x:t>
        </x:is>
      </x:c>
      <x:c r="AF102" s="10" t="inlineStr">
        <x:is>
          <x:t xml:space="preserve">NCh3393:2016 (referencial para paneles SIP)</x:t>
        </x:is>
      </x:c>
      <x:c r="AG10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2" s="10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164 mm; ventanas PVC termopanel; revestimiento exterior Plancha metálica prepintada; interior Yeso cartón RH en zonas húmedas; fundación sugerida Fundación corrida.</x:t>
        </x:is>
      </x:c>
    </x:row>
    <x:row r="103" ht="32" customHeight="1">
      <x:c r="A103" s="9" t="inlineStr">
        <x:is>
          <x:t xml:space="preserve">MOD-0102</x:t>
        </x:is>
      </x:c>
      <x:c r="B103" s="9" t="inlineStr">
        <x:is>
          <x:t xml:space="preserve">EMP-021</x:t>
        </x:is>
      </x:c>
      <x:c r="C103" s="9" t="inlineStr">
        <x:is>
          <x:t xml:space="preserve">Pelluhue 72</x:t>
        </x:is>
      </x:c>
      <x:c r="D103" s="9" t="inlineStr">
        <x:is>
          <x:t xml:space="preserve">Pelluhue</x:t>
        </x:is>
      </x:c>
      <x:c r="E103" s="9" t="inlineStr">
        <x:is>
          <x:t xml:space="preserve">Valle</x:t>
        </x:is>
      </x:c>
      <x:c r="F103" s="9" t="inlineStr">
        <x:is>
          <x:t xml:space="preserve">Sí</x:t>
        </x:is>
      </x:c>
      <x:c r="G103" s="9" t="inlineStr">
        <x:is>
          <x:t xml:space="preserve">SIP</x:t>
        </x:is>
      </x:c>
      <x:c r="H103" s="15" t="n">
        <x:v>72</x:v>
      </x:c>
      <x:c r="I103" s="9" t="n">
        <x:v>2</x:v>
      </x:c>
      <x:c r="J103" s="9" t="n">
        <x:v>2</x:v>
      </x:c>
      <x:c r="K103" s="9" t="n">
        <x:v>1</x:v>
      </x:c>
      <x:c r="L103" s="9" t="n">
        <x:v>2</x:v>
      </x:c>
      <x:c r="M103" s="12" t="n">
        <x:v>2.5</x:v>
      </x:c>
      <x:c r="N103" s="9" t="inlineStr">
        <x:is>
          <x:t xml:space="preserve">Panel SIP estructural OSB/EPS/OSB</x:t>
        </x:is>
      </x:c>
      <x:c r="O103" s="10" t="inlineStr">
        <x:is>
          <x:t xml:space="preserve">2 placas OSB estructural + núcleo EPS alta densidad</x:t>
        </x:is>
      </x:c>
      <x:c r="P103" s="15" t="n">
        <x:v>90</x:v>
      </x:c>
      <x:c r="Q103" s="9" t="inlineStr">
        <x:is>
          <x:t xml:space="preserve">EPS alta densidad 15 kg/m³</x:t>
        </x:is>
      </x:c>
      <x:c r="R103" s="15" t="n">
        <x:v>68</x:v>
      </x:c>
      <x:c r="S103" s="10" t="inlineStr">
        <x:is>
          <x:t xml:space="preserve">Panel SIP de cubierta + membrana hidrófuga + hojalatería</x:t>
        </x:is>
      </x:c>
      <x:c r="T103" s="15" t="n">
        <x:v>164</x:v>
      </x:c>
      <x:c r="U103" s="10" t="inlineStr">
        <x:is>
          <x:t xml:space="preserve">EPS integrado + sellos PU</x:t>
        </x:is>
      </x:c>
      <x:c r="V103" s="9" t="inlineStr">
        <x:is>
          <x:t xml:space="preserve">Base entramado madera o radier con barrera de humedad</x:t>
        </x:is>
      </x:c>
      <x:c r="W103" s="10" t="inlineStr">
        <x:is>
          <x:t xml:space="preserve">Aislación bajo piso PET o lana mineral 50-100 mm</x:t>
        </x:is>
      </x:c>
      <x:c r="X103" s="9" t="inlineStr">
        <x:is>
          <x:t xml:space="preserve">PVC termopanel</x:t>
        </x:is>
      </x:c>
      <x:c r="Y103" s="9" t="inlineStr">
        <x:is>
          <x:t xml:space="preserve">Plancha metálica prepintada</x:t>
        </x:is>
      </x:c>
      <x:c r="Z103" s="9" t="inlineStr">
        <x:is>
          <x:t xml:space="preserve">Yeso cartón RH en zonas húmedas</x:t>
        </x:is>
      </x:c>
      <x:c r="AA103" s="9" t="inlineStr">
        <x:is>
          <x:t xml:space="preserve">Radier afinado</x:t>
        </x:is>
      </x:c>
      <x:c r="AB103" s="15" t="n">
        <x:v>4</x:v>
      </x:c>
      <x:c r="AC103" s="15" t="n">
        <x:v>12</x:v>
      </x:c>
      <x:c r="AD103" s="9" t="inlineStr">
        <x:is>
          <x:t xml:space="preserve">Turismo / arriendo</x:t>
        </x:is>
      </x:c>
      <x:c r="AE103" s="9" t="inlineStr">
        <x:is>
          <x:t xml:space="preserve">Centro templado</x:t>
        </x:is>
      </x:c>
      <x:c r="AF103" s="10" t="inlineStr">
        <x:is>
          <x:t xml:space="preserve">NCh3393:2016 (referencial para paneles SIP)</x:t>
        </x:is>
      </x:c>
      <x:c r="AG103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3" s="10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164 mm; ventanas Aluminio con termopanel; revestimiento exterior Plancha metálica prepintada; interior Yeso cartón RH en zonas húmedas; fundación sugerida Pilotes metálicos.</x:t>
        </x:is>
      </x:c>
    </x:row>
    <x:row r="104" ht="32" customHeight="1">
      <x:c r="A104" s="9" t="inlineStr">
        <x:is>
          <x:t xml:space="preserve">MOD-0103</x:t>
        </x:is>
      </x:c>
      <x:c r="B104" s="9" t="inlineStr">
        <x:is>
          <x:t xml:space="preserve">EMP-021</x:t>
        </x:is>
      </x:c>
      <x:c r="C104" s="9" t="inlineStr">
        <x:is>
          <x:t xml:space="preserve">Cobquecura 104</x:t>
        </x:is>
      </x:c>
      <x:c r="D104" s="9" t="inlineStr">
        <x:is>
          <x:t xml:space="preserve">Cobquecura</x:t>
        </x:is>
      </x:c>
      <x:c r="E104" s="9" t="inlineStr">
        <x:is>
          <x:t xml:space="preserve">Valle</x:t>
        </x:is>
      </x:c>
      <x:c r="F104" s="9" t="inlineStr">
        <x:is>
          <x:t xml:space="preserve">Sí</x:t>
        </x:is>
      </x:c>
      <x:c r="G104" s="9" t="inlineStr">
        <x:is>
          <x:t xml:space="preserve">MODULAR_TIMBER</x:t>
        </x:is>
      </x:c>
      <x:c r="H104" s="15" t="n">
        <x:v>104</x:v>
      </x:c>
      <x:c r="I104" s="9" t="n">
        <x:v>3</x:v>
      </x:c>
      <x:c r="J104" s="9" t="n">
        <x:v>2</x:v>
      </x:c>
      <x:c r="K104" s="9" t="n">
        <x:v>1</x:v>
      </x:c>
      <x:c r="L104" s="9" t="n">
        <x:v>3</x:v>
      </x:c>
      <x:c r="M104" s="12" t="n">
        <x:v>2.35</x:v>
      </x:c>
      <x:c r="N104" s="9" t="inlineStr">
        <x:is>
          <x:t xml:space="preserve">Madera laminada y entramado ligero</x:t>
        </x:is>
      </x:c>
      <x:c r="O104" s="10" t="inlineStr">
        <x:is>
          <x:t xml:space="preserve">Madera estructural + OSB / terciado + barrera hidrófuga</x:t>
        </x:is>
      </x:c>
      <x:c r="P104" s="15" t="n">
        <x:v>100</x:v>
      </x:c>
      <x:c r="Q104" s="9" t="inlineStr">
        <x:is>
          <x:t xml:space="preserve">Lana mineral / lana de vidrio / PET reciclado</x:t>
        </x:is>
      </x:c>
      <x:c r="R104" s="15" t="n">
        <x:v>100</x:v>
      </x:c>
      <x:c r="S104" s="10" t="inlineStr">
        <x:is>
          <x:t xml:space="preserve">Cercha de madera + cubierta metálica o tejuela asfáltica</x:t>
        </x:is>
      </x:c>
      <x:c r="T104" s="15" t="n">
        <x:v>180</x:v>
      </x:c>
      <x:c r="U104" s="10" t="inlineStr">
        <x:is>
          <x:t xml:space="preserve">Lana mineral 80-140 mm + membrana</x:t>
        </x:is>
      </x:c>
      <x:c r="V104" s="9" t="inlineStr">
        <x:is>
          <x:t xml:space="preserve">Plataforma de madera estructural o radier</x:t>
        </x:is>
      </x:c>
      <x:c r="W104" s="10" t="inlineStr">
        <x:is>
          <x:t xml:space="preserve">Lana mineral 50-100 mm / barrera humedad</x:t>
        </x:is>
      </x:c>
      <x:c r="X104" s="9" t="inlineStr">
        <x:is>
          <x:t xml:space="preserve">PVC termopanel</x:t>
        </x:is>
      </x:c>
      <x:c r="Y104" s="9" t="inlineStr">
        <x:is>
          <x:t xml:space="preserve">Madera tratada</x:t>
        </x:is>
      </x:c>
      <x:c r="Z104" s="9" t="inlineStr">
        <x:is>
          <x:t xml:space="preserve">Yeso cartón</x:t>
        </x:is>
      </x:c>
      <x:c r="AA104" s="9" t="inlineStr">
        <x:is>
          <x:t xml:space="preserve">Fundación corrida</x:t>
        </x:is>
      </x:c>
      <x:c r="AB104" s="15" t="n">
        <x:v>7</x:v>
      </x:c>
      <x:c r="AC104" s="15" t="n">
        <x:v>13</x:v>
      </x:c>
      <x:c r="AD104" s="9" t="inlineStr">
        <x:is>
          <x:t xml:space="preserve">Parcela</x:t>
        </x:is>
      </x:c>
      <x:c r="AE104" s="9" t="inlineStr">
        <x:is>
          <x:t xml:space="preserve">Centro templado</x:t>
        </x:is>
      </x:c>
      <x:c r="AF104" s="10" t="inlineStr">
        <x:is>
          <x:t xml:space="preserve">Especificaciones técnicas de vivienda industrializada en madera (referencial)</x:t>
        </x:is>
      </x:c>
      <x:c r="AG104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04" s="10" t="inlineStr">
        <x:is>
          <x:t xml:space="preserve">Estructura: Entramado ligero en pino impregnado; muros Madera estructural + OSB / terciado + barrera hidrófuga de 100 mm con aislación Lana mineral / lana de vidrio / PET reciclado (100 mm); cubierta Cercha de madera + cubierta metálica o tejuela asfáltica de 180 mm; ventanas PVC termopanel; revestimiento exterior Smart Panel; interior MDF ranurado; fundación sugerida Radier.</x:t>
        </x:is>
      </x:c>
    </x:row>
    <x:row r="105" ht="32" customHeight="1">
      <x:c r="A105" s="9" t="inlineStr">
        <x:is>
          <x:t xml:space="preserve">MOD-0104</x:t>
        </x:is>
      </x:c>
      <x:c r="B105" s="9" t="inlineStr">
        <x:is>
          <x:t xml:space="preserve">EMP-021</x:t>
        </x:is>
      </x:c>
      <x:c r="C105" s="9" t="inlineStr">
        <x:is>
          <x:t xml:space="preserve">Corral 132</x:t>
        </x:is>
      </x:c>
      <x:c r="D105" s="9" t="inlineStr">
        <x:is>
          <x:t xml:space="preserve">Corral</x:t>
        </x:is>
      </x:c>
      <x:c r="E105" s="9" t="inlineStr">
        <x:is>
          <x:t xml:space="preserve">Río</x:t>
        </x:is>
      </x:c>
      <x:c r="F105" s="9" t="inlineStr">
        <x:is>
          <x:t xml:space="preserve">Sí</x:t>
        </x:is>
      </x:c>
      <x:c r="G105" s="9" t="inlineStr">
        <x:is>
          <x:t xml:space="preserve">STEEL_FRAME</x:t>
        </x:is>
      </x:c>
      <x:c r="H105" s="15" t="n">
        <x:v>132</x:v>
      </x:c>
      <x:c r="I105" s="9" t="n">
        <x:v>3</x:v>
      </x:c>
      <x:c r="J105" s="9" t="n">
        <x:v>2</x:v>
      </x:c>
      <x:c r="K105" s="9" t="n">
        <x:v>2</x:v>
      </x:c>
      <x:c r="L105" s="9" t="n">
        <x:v>3</x:v>
      </x:c>
      <x:c r="M105" s="12" t="n">
        <x:v>2.45</x:v>
      </x:c>
      <x:c r="N105" s="9" t="inlineStr">
        <x:is>
          <x:t xml:space="preserve">Panelizado steel frame industrializado</x:t>
        </x:is>
      </x:c>
      <x:c r="O105" s="10" t="inlineStr">
        <x:is>
          <x:t xml:space="preserve">Acero galvanizado + placa OSB/fibrocemento + cámara técnica</x:t>
        </x:is>
      </x:c>
      <x:c r="P105" s="15" t="n">
        <x:v>90</x:v>
      </x:c>
      <x:c r="Q105" s="9" t="inlineStr">
        <x:is>
          <x:t xml:space="preserve">Lana mineral o lana de roca / PET / EPS según zona térmica</x:t>
        </x:is>
      </x:c>
      <x:c r="R105" s="15" t="n">
        <x:v>90</x:v>
      </x:c>
      <x:c r="S105" s="10" t="inlineStr">
        <x:is>
          <x:t xml:space="preserve">Cerchas o paneles steel frame + cubierta metálica</x:t>
        </x:is>
      </x:c>
      <x:c r="T105" s="15" t="n">
        <x:v>180</x:v>
      </x:c>
      <x:c r="U105" s="10" t="inlineStr">
        <x:is>
          <x:t xml:space="preserve">Lana mineral / lana de roca + barrera de vapor</x:t>
        </x:is>
      </x:c>
      <x:c r="V105" s="9" t="inlineStr">
        <x:is>
          <x:t xml:space="preserve">Envigado metálico o plataforma estructural</x:t>
        </x:is>
      </x:c>
      <x:c r="W105" s="10" t="inlineStr">
        <x:is>
          <x:t xml:space="preserve">Lana mineral 50-100 mm + placas estructurales</x:t>
        </x:is>
      </x:c>
      <x:c r="X105" s="9" t="inlineStr">
        <x:is>
          <x:t xml:space="preserve">Aluminio RPT termopanel</x:t>
        </x:is>
      </x:c>
      <x:c r="Y105" s="9" t="inlineStr">
        <x:is>
          <x:t xml:space="preserve">Estuco sobre placa cementicia</x:t>
        </x:is>
      </x:c>
      <x:c r="Z105" s="9" t="inlineStr">
        <x:is>
          <x:t xml:space="preserve">Yeso cartón</x:t>
        </x:is>
      </x:c>
      <x:c r="AA105" s="9" t="inlineStr">
        <x:is>
          <x:t xml:space="preserve">Vigas de fundación y radier</x:t>
        </x:is>
      </x:c>
      <x:c r="AB105" s="15" t="n">
        <x:v>7</x:v>
      </x:c>
      <x:c r="AC105" s="15" t="n">
        <x:v>14</x:v>
      </x:c>
      <x:c r="AD105" s="9" t="inlineStr">
        <x:is>
          <x:t xml:space="preserve">Turismo / arriendo</x:t>
        </x:is>
      </x:c>
      <x:c r="AE105" s="9" t="inlineStr">
        <x:is>
          <x:t xml:space="preserve">Centro templado</x:t>
        </x:is>
      </x:c>
      <x:c r="AF105" s="10" t="inlineStr">
        <x:is>
          <x:t xml:space="preserve">Criterio térmico referencial OGUC / reglamentación térmica vigente</x:t>
        </x:is>
      </x:c>
      <x:c r="AG105" s="10" t="inlineStr">
        <x:is>
          <x:t xml:space="preserve">https://www.steelframe.cl/ | https://vhaceros.cl/blog/steel-framing-principios-estructurales-y-ventajas-en-la-construccion-chilena/</x:t>
        </x:is>
      </x:c>
      <x:c r="AH105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180 mm; ventanas Aluminio RPT termopanel; revestimiento exterior Estuco sobre placa cementicia; interior Yeso cartón RF; fundación sugerida Vigas de fundación y radier.</x:t>
        </x:is>
      </x:c>
    </x:row>
    <x:row r="106" ht="32" customHeight="1">
      <x:c r="A106" s="9" t="inlineStr">
        <x:is>
          <x:t xml:space="preserve">MOD-0105</x:t>
        </x:is>
      </x:c>
      <x:c r="B106" s="9" t="inlineStr">
        <x:is>
          <x:t xml:space="preserve">EMP-021</x:t>
        </x:is>
      </x:c>
      <x:c r="C106" s="9" t="inlineStr">
        <x:is>
          <x:t xml:space="preserve">Niebla 192</x:t>
        </x:is>
      </x:c>
      <x:c r="D106" s="9" t="inlineStr">
        <x:is>
          <x:t xml:space="preserve">Niebla</x:t>
        </x:is>
      </x:c>
      <x:c r="E106" s="9" t="inlineStr">
        <x:is>
          <x:t xml:space="preserve">Volcán</x:t>
        </x:is>
      </x:c>
      <x:c r="F106" s="9" t="inlineStr">
        <x:is>
          <x:t xml:space="preserve">Sí</x:t>
        </x:is>
      </x:c>
      <x:c r="G106" s="9" t="inlineStr">
        <x:is>
          <x:t xml:space="preserve">HYBRID_MODULAR</x:t>
        </x:is>
      </x:c>
      <x:c r="H106" s="15" t="n">
        <x:v>192</x:v>
      </x:c>
      <x:c r="I106" s="9" t="n">
        <x:v>4</x:v>
      </x:c>
      <x:c r="J106" s="9" t="n">
        <x:v>3</x:v>
      </x:c>
      <x:c r="K106" s="9" t="n">
        <x:v>1</x:v>
      </x:c>
      <x:c r="L106" s="9" t="n">
        <x:v>4</x:v>
      </x:c>
      <x:c r="M106" s="12" t="n">
        <x:v>2.5</x:v>
      </x:c>
      <x:c r="N106" s="9" t="inlineStr">
        <x:is>
          <x:t xml:space="preserve">Estructura híbrida acero-madera panelizada</x:t>
        </x:is>
      </x:c>
      <x:c r="O106" s="10" t="inlineStr">
        <x:is>
          <x:t xml:space="preserve">Acero galvanizado o madera laminada + panel SIP MgO/OSB</x:t>
        </x:is>
      </x:c>
      <x:c r="P106" s="15" t="n">
        <x:v>120</x:v>
      </x:c>
      <x:c r="Q106" s="9" t="inlineStr">
        <x:is>
          <x:t xml:space="preserve">Lana mineral 75-100 mm o EPS integrado</x:t>
        </x:is>
      </x:c>
      <x:c r="R106" s="15" t="n">
        <x:v>90</x:v>
      </x:c>
      <x:c r="S106" s="10" t="inlineStr">
        <x:is>
          <x:t xml:space="preserve">Módulo volumétrico con cubierta panelizada</x:t>
        </x:is>
      </x:c>
      <x:c r="T106" s="15" t="n">
        <x:v>140</x:v>
      </x:c>
      <x:c r="U106" s="10" t="inlineStr">
        <x:is>
          <x:t xml:space="preserve">Lana mineral / EPS / barrera vapor</x:t>
        </x:is>
      </x:c>
      <x:c r="V106" s="9" t="inlineStr">
        <x:is>
          <x:t xml:space="preserve">Bastidor metálico o madera laminada</x:t>
        </x:is>
      </x:c>
      <x:c r="W106" s="10" t="inlineStr">
        <x:is>
          <x:t xml:space="preserve">Lana mineral 80-100 mm + fibrocemento</x:t>
        </x:is>
      </x:c>
      <x:c r="X106" s="9" t="inlineStr">
        <x:is>
          <x:t xml:space="preserve">PVC termopanel</x:t>
        </x:is>
      </x:c>
      <x:c r="Y106" s="9" t="inlineStr">
        <x:is>
          <x:t xml:space="preserve">Plancha metálica</x:t>
        </x:is>
      </x:c>
      <x:c r="Z106" s="9" t="inlineStr">
        <x:is>
          <x:t xml:space="preserve">Melamina blanca</x:t>
        </x:is>
      </x:c>
      <x:c r="AA106" s="9" t="inlineStr">
        <x:is>
          <x:t xml:space="preserve">Radier</x:t>
        </x:is>
      </x:c>
      <x:c r="AB106" s="15" t="n">
        <x:v>6</x:v>
      </x:c>
      <x:c r="AC106" s="15" t="n">
        <x:v>6</x:v>
      </x:c>
      <x:c r="AD106" s="9" t="inlineStr">
        <x:is>
          <x:t xml:space="preserve">Segunda vivienda</x:t>
        </x:is>
      </x:c>
      <x:c r="AE106" s="9" t="inlineStr">
        <x:is>
          <x:t xml:space="preserve">Centro templado</x:t>
        </x:is>
      </x:c>
      <x:c r="AF106" s="10" t="inlineStr">
        <x:is>
          <x:t xml:space="preserve">Criterios de prefabricación modular y coordinación BIM (referencial)</x:t>
        </x:is>
      </x:c>
      <x:c r="AG106" s="10" t="inlineStr">
        <x:is>
          <x:t xml:space="preserve">https://modul.cl/construccion-de-casas-prefabricadas-modulares/ | https://tecnofasthome.cl/casas-modulares/</x:t>
        </x:is>
      </x:c>
      <x:c r="AH106" s="10" t="inlineStr">
        <x:is>
          <x:t xml:space="preserve">Estructura: Módulos de acero + paneles SIP; muros Acero galvanizado o madera laminada + panel SIP MgO/OSB de 120 mm con aislación Lana mineral 75-100 mm o EPS integrado (90 mm); cubierta Módulo volumétrico con cubierta panelizada de 140 mm; ventanas PVC termopanel; revestimiento exterior Madera tratada; interior Yeso cartón RH; fundación sugerida Pilotes ajustables.</x:t>
        </x:is>
      </x:c>
    </x:row>
    <x:row r="107" ht="32" customHeight="1">
      <x:c r="A107" s="9" t="inlineStr">
        <x:is>
          <x:t xml:space="preserve">MOD-0106</x:t>
        </x:is>
      </x:c>
      <x:c r="B107" s="9" t="inlineStr">
        <x:is>
          <x:t xml:space="preserve">EMP-022</x:t>
        </x:is>
      </x:c>
      <x:c r="C107" s="9" t="inlineStr">
        <x:is>
          <x:t xml:space="preserve">Lican Ray 54</x:t>
        </x:is>
      </x:c>
      <x:c r="D107" s="9" t="inlineStr">
        <x:is>
          <x:t xml:space="preserve">Lican Ray</x:t>
        </x:is>
      </x:c>
      <x:c r="E107" s="9" t="inlineStr">
        <x:is>
          <x:t xml:space="preserve">Río</x:t>
        </x:is>
      </x:c>
      <x:c r="F107" s="9" t="inlineStr">
        <x:is>
          <x:t xml:space="preserve">Sí</x:t>
        </x:is>
      </x:c>
      <x:c r="G107" s="9" t="inlineStr">
        <x:is>
          <x:t xml:space="preserve">SIP</x:t>
        </x:is>
      </x:c>
      <x:c r="H107" s="15" t="n">
        <x:v>54</x:v>
      </x:c>
      <x:c r="I107" s="9" t="n">
        <x:v>2</x:v>
      </x:c>
      <x:c r="J107" s="9" t="n">
        <x:v>1</x:v>
      </x:c>
      <x:c r="K107" s="9" t="n">
        <x:v>1</x:v>
      </x:c>
      <x:c r="L107" s="9" t="n">
        <x:v>2</x:v>
      </x:c>
      <x:c r="M107" s="12" t="n">
        <x:v>2.5</x:v>
      </x:c>
      <x:c r="N107" s="9" t="inlineStr">
        <x:is>
          <x:t xml:space="preserve">Panel SIP estructural OSB/EPS/OSB</x:t>
        </x:is>
      </x:c>
      <x:c r="O107" s="10" t="inlineStr">
        <x:is>
          <x:t xml:space="preserve">2 placas OSB estructural + núcleo EPS alta densidad</x:t>
        </x:is>
      </x:c>
      <x:c r="P107" s="15" t="n">
        <x:v>90</x:v>
      </x:c>
      <x:c r="Q107" s="9" t="inlineStr">
        <x:is>
          <x:t xml:space="preserve">EPS alta densidad 15 kg/m³</x:t>
        </x:is>
      </x:c>
      <x:c r="R107" s="15" t="n">
        <x:v>68</x:v>
      </x:c>
      <x:c r="S107" s="10" t="inlineStr">
        <x:is>
          <x:t xml:space="preserve">Panel SIP de cubierta + membrana hidrófuga + hojalatería</x:t>
        </x:is>
      </x:c>
      <x:c r="T107" s="15" t="n">
        <x:v>130</x:v>
      </x:c>
      <x:c r="U107" s="10" t="inlineStr">
        <x:is>
          <x:t xml:space="preserve">EPS integrado + sellos PU</x:t>
        </x:is>
      </x:c>
      <x:c r="V107" s="9" t="inlineStr">
        <x:is>
          <x:t xml:space="preserve">Base entramado madera o radier con barrera de humedad</x:t>
        </x:is>
      </x:c>
      <x:c r="W107" s="10" t="inlineStr">
        <x:is>
          <x:t xml:space="preserve">Aislación bajo piso PET o lana mineral 50-100 mm</x:t>
        </x:is>
      </x:c>
      <x:c r="X107" s="9" t="inlineStr">
        <x:is>
          <x:t xml:space="preserve">PVC termopanel</x:t>
        </x:is>
      </x:c>
      <x:c r="Y107" s="9" t="inlineStr">
        <x:is>
          <x:t xml:space="preserve">Plancha metálica prepintada</x:t>
        </x:is>
      </x:c>
      <x:c r="Z107" s="9" t="inlineStr">
        <x:is>
          <x:t xml:space="preserve">Yeso cartón RH en zonas húmedas</x:t>
        </x:is>
      </x:c>
      <x:c r="AA107" s="9" t="inlineStr">
        <x:is>
          <x:t xml:space="preserve">Sobrecimientos y radier</x:t>
        </x:is>
      </x:c>
      <x:c r="AB107" s="15" t="n">
        <x:v>5</x:v>
      </x:c>
      <x:c r="AC107" s="15" t="n">
        <x:v>6</x:v>
      </x:c>
      <x:c r="AD107" s="9" t="inlineStr">
        <x:is>
          <x:t xml:space="preserve">Turismo / arriendo</x:t>
        </x:is>
      </x:c>
      <x:c r="AE107" s="9" t="inlineStr">
        <x:is>
          <x:t xml:space="preserve">Centro-sur templado lluvioso</x:t>
        </x:is>
      </x:c>
      <x:c r="AF107" s="10" t="inlineStr">
        <x:is>
          <x:t xml:space="preserve">NCh3393:2016 (referencial para paneles SIP)</x:t>
        </x:is>
      </x:c>
      <x:c r="AG10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7" s="10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130 mm; ventanas Aluminio con termopanel; revestimiento exterior Plancha metálica prepintada; interior Yeso cartón pintado; fundación sugerida Fundación corrida.</x:t>
        </x:is>
      </x:c>
    </x:row>
    <x:row r="108" ht="32" customHeight="1">
      <x:c r="A108" s="9" t="inlineStr">
        <x:is>
          <x:t xml:space="preserve">MOD-0107</x:t>
        </x:is>
      </x:c>
      <x:c r="B108" s="9" t="inlineStr">
        <x:is>
          <x:t xml:space="preserve">EMP-022</x:t>
        </x:is>
      </x:c>
      <x:c r="C108" s="9" t="inlineStr">
        <x:is>
          <x:t xml:space="preserve">Coñaripe 96</x:t>
        </x:is>
      </x:c>
      <x:c r="D108" s="9" t="inlineStr">
        <x:is>
          <x:t xml:space="preserve">Coñaripe</x:t>
        </x:is>
      </x:c>
      <x:c r="E108" s="9" t="inlineStr">
        <x:is>
          <x:t xml:space="preserve">Lago</x:t>
        </x:is>
      </x:c>
      <x:c r="F108" s="9" t="inlineStr">
        <x:is>
          <x:t xml:space="preserve">Sí</x:t>
        </x:is>
      </x:c>
      <x:c r="G108" s="9" t="inlineStr">
        <x:is>
          <x:t xml:space="preserve">STEEL_FRAME</x:t>
        </x:is>
      </x:c>
      <x:c r="H108" s="15" t="n">
        <x:v>96</x:v>
      </x:c>
      <x:c r="I108" s="9" t="n">
        <x:v>3</x:v>
      </x:c>
      <x:c r="J108" s="9" t="n">
        <x:v>2</x:v>
      </x:c>
      <x:c r="K108" s="9" t="n">
        <x:v>1</x:v>
      </x:c>
      <x:c r="L108" s="9" t="n">
        <x:v>3</x:v>
      </x:c>
      <x:c r="M108" s="12" t="n">
        <x:v>2.45</x:v>
      </x:c>
      <x:c r="N108" s="9" t="inlineStr">
        <x:is>
          <x:t xml:space="preserve">Perfilería de acero galvanizado liviano</x:t>
        </x:is>
      </x:c>
      <x:c r="O108" s="10" t="inlineStr">
        <x:is>
          <x:t xml:space="preserve">Acero galvanizado + placa OSB/fibrocemento + cámara técnica</x:t>
        </x:is>
      </x:c>
      <x:c r="P108" s="15" t="n">
        <x:v>160</x:v>
      </x:c>
      <x:c r="Q108" s="9" t="inlineStr">
        <x:is>
          <x:t xml:space="preserve">Lana mineral o lana de roca / PET / EPS según zona térmica</x:t>
        </x:is>
      </x:c>
      <x:c r="R108" s="15" t="n">
        <x:v>100</x:v>
      </x:c>
      <x:c r="S108" s="10" t="inlineStr">
        <x:is>
          <x:t xml:space="preserve">Cerchas o paneles steel frame + cubierta metálica</x:t>
        </x:is>
      </x:c>
      <x:c r="T108" s="15" t="n">
        <x:v>150</x:v>
      </x:c>
      <x:c r="U108" s="10" t="inlineStr">
        <x:is>
          <x:t xml:space="preserve">Lana mineral / lana de roca + barrera de vapor</x:t>
        </x:is>
      </x:c>
      <x:c r="V108" s="9" t="inlineStr">
        <x:is>
          <x:t xml:space="preserve">Envigado metálico o plataforma estructural</x:t>
        </x:is>
      </x:c>
      <x:c r="W108" s="10" t="inlineStr">
        <x:is>
          <x:t xml:space="preserve">Lana mineral 50-100 mm + placas estructurales</x:t>
        </x:is>
      </x:c>
      <x:c r="X108" s="9" t="inlineStr">
        <x:is>
          <x:t xml:space="preserve">Aluminio RPT termopanel</x:t>
        </x:is>
      </x:c>
      <x:c r="Y108" s="9" t="inlineStr">
        <x:is>
          <x:t xml:space="preserve">Estuco sobre placa cementicia</x:t>
        </x:is>
      </x:c>
      <x:c r="Z108" s="9" t="inlineStr">
        <x:is>
          <x:t xml:space="preserve">MDF pintado</x:t>
        </x:is>
      </x:c>
      <x:c r="AA108" s="9" t="inlineStr">
        <x:is>
          <x:t xml:space="preserve">Pilotes</x:t>
        </x:is>
      </x:c>
      <x:c r="AB108" s="15" t="n">
        <x:v>5</x:v>
      </x:c>
      <x:c r="AC108" s="15" t="n">
        <x:v>7</x:v>
      </x:c>
      <x:c r="AD108" s="9" t="inlineStr">
        <x:is>
          <x:t xml:space="preserve">Oficina + vivienda</x:t>
        </x:is>
      </x:c>
      <x:c r="AE108" s="9" t="inlineStr">
        <x:is>
          <x:t xml:space="preserve">Centro-sur templado lluvioso</x:t>
        </x:is>
      </x:c>
      <x:c r="AF108" s="10" t="inlineStr">
        <x:is>
          <x:t xml:space="preserve">Criterio térmico referencial OGUC / reglamentación térmica vigente</x:t>
        </x:is>
      </x:c>
      <x:c r="AG108" s="10" t="inlineStr">
        <x:is>
          <x:t xml:space="preserve">https://www.steelframe.cl/ | https://vhaceros.cl/blog/steel-framing-principios-estructurales-y-ventajas-en-la-construccion-chilena/</x:t>
        </x:is>
      </x:c>
      <x:c r="AH108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(100 mm); cubierta Cerchas o paneles steel frame + cubierta metálica de 150 mm; ventanas PVC termopanel; revestimiento exterior Plancha metálica; interior Yeso cartón; fundación sugerida Pilotes.</x:t>
        </x:is>
      </x:c>
    </x:row>
    <x:row r="109" ht="32" customHeight="1">
      <x:c r="A109" s="9" t="inlineStr">
        <x:is>
          <x:t xml:space="preserve">MOD-0108</x:t>
        </x:is>
      </x:c>
      <x:c r="B109" s="9" t="inlineStr">
        <x:is>
          <x:t xml:space="preserve">EMP-022</x:t>
        </x:is>
      </x:c>
      <x:c r="C109" s="9" t="inlineStr">
        <x:is>
          <x:t xml:space="preserve">Dalcahue 104</x:t>
        </x:is>
      </x:c>
      <x:c r="D109" s="9" t="inlineStr">
        <x:is>
          <x:t xml:space="preserve">Dalcahue</x:t>
        </x:is>
      </x:c>
      <x:c r="E109" s="9" t="inlineStr">
        <x:is>
          <x:t xml:space="preserve">Río</x:t>
        </x:is>
      </x:c>
      <x:c r="F109" s="9" t="inlineStr">
        <x:is>
          <x:t xml:space="preserve">Sí</x:t>
        </x:is>
      </x:c>
      <x:c r="G109" s="9" t="inlineStr">
        <x:is>
          <x:t xml:space="preserve">SIP</x:t>
        </x:is>
      </x:c>
      <x:c r="H109" s="15" t="n">
        <x:v>104</x:v>
      </x:c>
      <x:c r="I109" s="9" t="n">
        <x:v>3</x:v>
      </x:c>
      <x:c r="J109" s="9" t="n">
        <x:v>2</x:v>
      </x:c>
      <x:c r="K109" s="9" t="n">
        <x:v>1</x:v>
      </x:c>
      <x:c r="L109" s="9" t="n">
        <x:v>3</x:v>
      </x:c>
      <x:c r="M109" s="12" t="n">
        <x:v>2.4</x:v>
      </x:c>
      <x:c r="N109" s="9" t="inlineStr">
        <x:is>
          <x:t xml:space="preserve">Panel SIP estructural con uniones en pino seco</x:t>
        </x:is>
      </x:c>
      <x:c r="O109" s="10" t="inlineStr">
        <x:is>
          <x:t xml:space="preserve">2 placas OSB estructural + núcleo EPS alta densidad</x:t>
        </x:is>
      </x:c>
      <x:c r="P109" s="15" t="n">
        <x:v>75</x:v>
      </x:c>
      <x:c r="Q109" s="9" t="inlineStr">
        <x:is>
          <x:t xml:space="preserve">EPS alta densidad 15 kg/m³</x:t>
        </x:is>
      </x:c>
      <x:c r="R109" s="15" t="n">
        <x:v>53</x:v>
      </x:c>
      <x:c r="S109" s="10" t="inlineStr">
        <x:is>
          <x:t xml:space="preserve">Panel SIP de cubierta + membrana hidrófuga + hojalatería</x:t>
        </x:is>
      </x:c>
      <x:c r="T109" s="15" t="n">
        <x:v>130</x:v>
      </x:c>
      <x:c r="U109" s="10" t="inlineStr">
        <x:is>
          <x:t xml:space="preserve">EPS integrado + sellos PU</x:t>
        </x:is>
      </x:c>
      <x:c r="V109" s="9" t="inlineStr">
        <x:is>
          <x:t xml:space="preserve">Base entramado madera o radier con barrera de humedad</x:t>
        </x:is>
      </x:c>
      <x:c r="W109" s="10" t="inlineStr">
        <x:is>
          <x:t xml:space="preserve">Aislación bajo piso PET o lana mineral 50-100 mm</x:t>
        </x:is>
      </x:c>
      <x:c r="X109" s="9" t="inlineStr">
        <x:is>
          <x:t xml:space="preserve">PVC termopanel</x:t>
        </x:is>
      </x:c>
      <x:c r="Y109" s="9" t="inlineStr">
        <x:is>
          <x:t xml:space="preserve">Plancha metálica prepintada</x:t>
        </x:is>
      </x:c>
      <x:c r="Z109" s="9" t="inlineStr">
        <x:is>
          <x:t xml:space="preserve">MDF en zonas secas</x:t>
        </x:is>
      </x:c>
      <x:c r="AA109" s="9" t="inlineStr">
        <x:is>
          <x:t xml:space="preserve">Fundación corrida</x:t>
        </x:is>
      </x:c>
      <x:c r="AB109" s="15" t="n">
        <x:v>7</x:v>
      </x:c>
      <x:c r="AC109" s="15" t="n">
        <x:v>9</x:v>
      </x:c>
      <x:c r="AD109" s="9" t="inlineStr">
        <x:is>
          <x:t xml:space="preserve">Cabaña permanente</x:t>
        </x:is>
      </x:c>
      <x:c r="AE109" s="9" t="inlineStr">
        <x:is>
          <x:t xml:space="preserve">Centro-sur templado lluvioso</x:t>
        </x:is>
      </x:c>
      <x:c r="AF109" s="10" t="inlineStr">
        <x:is>
          <x:t xml:space="preserve">NCh3393:2016 (referencial para paneles SIP)</x:t>
        </x:is>
      </x:c>
      <x:c r="AG10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9" s="10" t="inlineStr">
        <x:is>
          <x:t xml:space="preserve">Estructura: Panel SIP estructural OSB/EPS/OSB; muros 2 placas OSB estructural + núcleo EPS alta densidad de 75 mm con aislación EPS alta densidad 15 kg/m³ (53 mm); cubierta Panel SIP de cubierta + membrana hidrófuga + hojalatería de 130 mm; ventanas PVC DVH; revestimiento exterior Plancha metálica prepintada; interior OSB sellado y pintado; fundación sugerida Sobrecimientos y radier.</x:t>
        </x:is>
      </x:c>
    </x:row>
    <x:row r="110" ht="32" customHeight="1">
      <x:c r="A110" s="9" t="inlineStr">
        <x:is>
          <x:t xml:space="preserve">MOD-0109</x:t>
        </x:is>
      </x:c>
      <x:c r="B110" s="9" t="inlineStr">
        <x:is>
          <x:t xml:space="preserve">EMP-022</x:t>
        </x:is>
      </x:c>
      <x:c r="C110" s="9" t="inlineStr">
        <x:is>
          <x:t xml:space="preserve">Quellón 120</x:t>
        </x:is>
      </x:c>
      <x:c r="D110" s="9" t="inlineStr">
        <x:is>
          <x:t xml:space="preserve">Quellón</x:t>
        </x:is>
      </x:c>
      <x:c r="E110" s="9" t="inlineStr">
        <x:is>
          <x:t xml:space="preserve">Valle</x:t>
        </x:is>
      </x:c>
      <x:c r="F110" s="9" t="inlineStr">
        <x:is>
          <x:t xml:space="preserve">Sí</x:t>
        </x:is>
      </x:c>
      <x:c r="G110" s="9" t="inlineStr">
        <x:is>
          <x:t xml:space="preserve">CONTAINER</x:t>
        </x:is>
      </x:c>
      <x:c r="H110" s="15" t="n">
        <x:v>120</x:v>
      </x:c>
      <x:c r="I110" s="9" t="n">
        <x:v>3</x:v>
      </x:c>
      <x:c r="J110" s="9" t="n">
        <x:v>2</x:v>
      </x:c>
      <x:c r="K110" s="9" t="n">
        <x:v>1</x:v>
      </x:c>
      <x:c r="L110" s="9" t="n">
        <x:v>3</x:v>
      </x:c>
      <x:c r="M110" s="12" t="n">
        <x:v>2.4</x:v>
      </x:c>
      <x:c r="N110" s="9" t="inlineStr">
        <x:is>
          <x:t xml:space="preserve">Contenedor marítimo acondicionado</x:t>
        </x:is>
      </x:c>
      <x:c r="O110" s="10" t="inlineStr">
        <x:is>
          <x:t xml:space="preserve">Estructura container + subestructura interior + revestimiento</x:t>
        </x:is>
      </x:c>
      <x:c r="P110" s="15" t="n">
        <x:v>110</x:v>
      </x:c>
      <x:c r="Q110" s="9" t="inlineStr">
        <x:is>
          <x:t xml:space="preserve">Poliuretano proyectado o EPS/Aislapol 40-60 mm</x:t>
        </x:is>
      </x:c>
      <x:c r="R110" s="15" t="n">
        <x:v>40</x:v>
      </x:c>
      <x:c r="S110" s="10" t="inlineStr">
        <x:is>
          <x:t xml:space="preserve">Cubierta metálica container + sobretecho ventilado opcional</x:t>
        </x:is>
      </x:c>
      <x:c r="T110" s="15" t="n">
        <x:v>80</x:v>
      </x:c>
      <x:c r="U110" s="10" t="inlineStr">
        <x:is>
          <x:t xml:space="preserve">Poliuretano / EPS + barrera anticondensación</x:t>
        </x:is>
      </x:c>
      <x:c r="V110" s="9" t="inlineStr">
        <x:is>
          <x:t xml:space="preserve">Piso terciado 18 mm o base original acondicionada + vinílico</x:t>
        </x:is>
      </x:c>
      <x:c r="W110" s="10" t="inlineStr">
        <x:is>
          <x:t xml:space="preserve">Aislación bajo piso 40-80 mm</x:t>
        </x:is>
      </x:c>
      <x:c r="X110" s="9" t="inlineStr">
        <x:is>
          <x:t xml:space="preserve">Aluminio termopanel</x:t>
        </x:is>
      </x:c>
      <x:c r="Y110" s="9" t="inlineStr">
        <x:is>
          <x:t xml:space="preserve">Plancha metálica prepintada</x:t>
        </x:is>
      </x:c>
      <x:c r="Z110" s="9" t="inlineStr">
        <x:is>
          <x:t xml:space="preserve">Yeso cartón</x:t>
        </x:is>
      </x:c>
      <x:c r="AA110" s="9" t="inlineStr">
        <x:is>
          <x:t xml:space="preserve">Radier</x:t>
        </x:is>
      </x:c>
      <x:c r="AB110" s="15" t="n">
        <x:v>4</x:v>
      </x:c>
      <x:c r="AC110" s="15" t="n">
        <x:v>7</x:v>
      </x:c>
      <x:c r="AD110" s="9" t="inlineStr">
        <x:is>
          <x:t xml:space="preserve">Parcela</x:t>
        </x:is>
      </x:c>
      <x:c r="AE110" s="9" t="inlineStr">
        <x:is>
          <x:t xml:space="preserve">Centro-sur templado lluvioso</x:t>
        </x:is>
      </x:c>
      <x:c r="AF110" s="10" t="inlineStr">
        <x:is>
          <x:t xml:space="preserve">Criterios de aislación, ventilación y tratamiento anticorrosivo (referencial)</x:t>
        </x:is>
      </x:c>
      <x:c r="AG110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10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80 mm; ventanas PVC termopanel; revestimiento exterior Acero galvanizado pintado; interior Madera pintada; fundación sugerida Dados de hormigón.</x:t>
        </x:is>
      </x:c>
    </x:row>
    <x:row r="111" ht="32" customHeight="1">
      <x:c r="A111" s="9" t="inlineStr">
        <x:is>
          <x:t xml:space="preserve">MOD-0110</x:t>
        </x:is>
      </x:c>
      <x:c r="B111" s="9" t="inlineStr">
        <x:is>
          <x:t xml:space="preserve">EMP-022</x:t>
        </x:is>
      </x:c>
      <x:c r="C111" s="9" t="inlineStr">
        <x:is>
          <x:t xml:space="preserve">Porvenir 210</x:t>
        </x:is>
      </x:c>
      <x:c r="D111" s="9" t="inlineStr">
        <x:is>
          <x:t xml:space="preserve">Porvenir</x:t>
        </x:is>
      </x:c>
      <x:c r="E111" s="9" t="inlineStr">
        <x:is>
          <x:t xml:space="preserve">Ciudad</x:t>
        </x:is>
      </x:c>
      <x:c r="F111" s="9" t="inlineStr">
        <x:is>
          <x:t xml:space="preserve">Sí</x:t>
        </x:is>
      </x:c>
      <x:c r="G111" s="9" t="inlineStr">
        <x:is>
          <x:t xml:space="preserve">HYBRID_MODULAR</x:t>
        </x:is>
      </x:c>
      <x:c r="H111" s="15" t="n">
        <x:v>210</x:v>
      </x:c>
      <x:c r="I111" s="9" t="n">
        <x:v>4</x:v>
      </x:c>
      <x:c r="J111" s="9" t="n">
        <x:v>3</x:v>
      </x:c>
      <x:c r="K111" s="9" t="n">
        <x:v>1</x:v>
      </x:c>
      <x:c r="L111" s="9" t="n">
        <x:v>4</x:v>
      </x:c>
      <x:c r="M111" s="12" t="n">
        <x:v>2.4</x:v>
      </x:c>
      <x:c r="N111" s="9" t="inlineStr">
        <x:is>
          <x:t xml:space="preserve">Módulos de acero + paneles SIP</x:t>
        </x:is>
      </x:c>
      <x:c r="O111" s="10" t="inlineStr">
        <x:is>
          <x:t xml:space="preserve">Acero galvanizado o madera laminada + panel SIP MgO/OSB</x:t>
        </x:is>
      </x:c>
      <x:c r="P111" s="15" t="n">
        <x:v>140</x:v>
      </x:c>
      <x:c r="Q111" s="9" t="inlineStr">
        <x:is>
          <x:t xml:space="preserve">Lana mineral 75-100 mm o EPS integrado</x:t>
        </x:is>
      </x:c>
      <x:c r="R111" s="15" t="n">
        <x:v>100</x:v>
      </x:c>
      <x:c r="S111" s="10" t="inlineStr">
        <x:is>
          <x:t xml:space="preserve">Módulo volumétrico con cubierta panelizada</x:t>
        </x:is>
      </x:c>
      <x:c r="T111" s="15" t="n">
        <x:v>160</x:v>
      </x:c>
      <x:c r="U111" s="10" t="inlineStr">
        <x:is>
          <x:t xml:space="preserve">Lana mineral / EPS / barrera vapor</x:t>
        </x:is>
      </x:c>
      <x:c r="V111" s="9" t="inlineStr">
        <x:is>
          <x:t xml:space="preserve">Bastidor metálico o madera laminada</x:t>
        </x:is>
      </x:c>
      <x:c r="W111" s="10" t="inlineStr">
        <x:is>
          <x:t xml:space="preserve">Lana mineral 80-100 mm + fibrocemento</x:t>
        </x:is>
      </x:c>
      <x:c r="X111" s="9" t="inlineStr">
        <x:is>
          <x:t xml:space="preserve">PVC termopanel</x:t>
        </x:is>
      </x:c>
      <x:c r="Y111" s="9" t="inlineStr">
        <x:is>
          <x:t xml:space="preserve">Fibrocemento tipo siding</x:t>
        </x:is>
      </x:c>
      <x:c r="Z111" s="9" t="inlineStr">
        <x:is>
          <x:t xml:space="preserve">Yeso cartón RH</x:t>
        </x:is>
      </x:c>
      <x:c r="AA111" s="9" t="inlineStr">
        <x:is>
          <x:t xml:space="preserve">Radier</x:t>
        </x:is>
      </x:c>
      <x:c r="AB111" s="15" t="n">
        <x:v>7</x:v>
      </x:c>
      <x:c r="AC111" s="15" t="n">
        <x:v>8</x:v>
      </x:c>
      <x:c r="AD111" s="9" t="inlineStr">
        <x:is>
          <x:t xml:space="preserve">Cabaña permanente</x:t>
        </x:is>
      </x:c>
      <x:c r="AE111" s="9" t="inlineStr">
        <x:is>
          <x:t xml:space="preserve">Centro-sur templado lluvioso</x:t>
        </x:is>
      </x:c>
      <x:c r="AF111" s="10" t="inlineStr">
        <x:is>
          <x:t xml:space="preserve">Criterios de prefabricación modular y coordinación BIM (referencial)</x:t>
        </x:is>
      </x:c>
      <x:c r="AG111" s="10" t="inlineStr">
        <x:is>
          <x:t xml:space="preserve">https://modul.cl/construccion-de-casas-prefabricadas-modulares/ | https://tecnofasthome.cl/casas-modulares/</x:t>
        </x:is>
      </x:c>
      <x:c r="AH111" s="10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160 mm; ventanas PVC termopanel; revestimiento exterior Fibrocemento tipo siding; interior Melamina blanca; fundación sugerida Pilotes ajustables.</x:t>
        </x:is>
      </x:c>
    </x:row>
    <x:row r="112" ht="32" customHeight="1">
      <x:c r="A112" s="9" t="inlineStr">
        <x:is>
          <x:t xml:space="preserve">MOD-0111</x:t>
        </x:is>
      </x:c>
      <x:c r="B112" s="9" t="inlineStr">
        <x:is>
          <x:t xml:space="preserve">EMP-023</x:t>
        </x:is>
      </x:c>
      <x:c r="C112" s="9" t="inlineStr">
        <x:is>
          <x:t xml:space="preserve">Timaukel 42</x:t>
        </x:is>
      </x:c>
      <x:c r="D112" s="9" t="inlineStr">
        <x:is>
          <x:t xml:space="preserve">Timaukel</x:t>
        </x:is>
      </x:c>
      <x:c r="E112" s="9" t="inlineStr">
        <x:is>
          <x:t xml:space="preserve">Archipiélago</x:t>
        </x:is>
      </x:c>
      <x:c r="F112" s="9" t="inlineStr">
        <x:is>
          <x:t xml:space="preserve">Sí</x:t>
        </x:is>
      </x:c>
      <x:c r="G112" s="9" t="inlineStr">
        <x:is>
          <x:t xml:space="preserve">MODULAR_TIMBER</x:t>
        </x:is>
      </x:c>
      <x:c r="H112" s="15" t="n">
        <x:v>42</x:v>
      </x:c>
      <x:c r="I112" s="9" t="n">
        <x:v>1</x:v>
      </x:c>
      <x:c r="J112" s="9" t="n">
        <x:v>1</x:v>
      </x:c>
      <x:c r="K112" s="9" t="n">
        <x:v>1</x:v>
      </x:c>
      <x:c r="L112" s="9" t="n">
        <x:v>1</x:v>
      </x:c>
      <x:c r="M112" s="12" t="n">
        <x:v>2.35</x:v>
      </x:c>
      <x:c r="N112" s="9" t="inlineStr">
        <x:is>
          <x:t xml:space="preserve">Wood frame modular</x:t>
        </x:is>
      </x:c>
      <x:c r="O112" s="10" t="inlineStr">
        <x:is>
          <x:t xml:space="preserve">Madera estructural + OSB / terciado + barrera hidrófuga</x:t>
        </x:is>
      </x:c>
      <x:c r="P112" s="15" t="n">
        <x:v>140</x:v>
      </x:c>
      <x:c r="Q112" s="9" t="inlineStr">
        <x:is>
          <x:t xml:space="preserve">Lana mineral / lana de vidrio / PET reciclado</x:t>
        </x:is>
      </x:c>
      <x:c r="R112" s="15" t="n">
        <x:v>100</x:v>
      </x:c>
      <x:c r="S112" s="10" t="inlineStr">
        <x:is>
          <x:t xml:space="preserve">Cercha de madera + cubierta metálica o tejuela asfáltica</x:t>
        </x:is>
      </x:c>
      <x:c r="T112" s="15" t="n">
        <x:v>120</x:v>
      </x:c>
      <x:c r="U112" s="10" t="inlineStr">
        <x:is>
          <x:t xml:space="preserve">Lana mineral 80-140 mm + membrana</x:t>
        </x:is>
      </x:c>
      <x:c r="V112" s="9" t="inlineStr">
        <x:is>
          <x:t xml:space="preserve">Plataforma de madera estructural o radier</x:t>
        </x:is>
      </x:c>
      <x:c r="W112" s="10" t="inlineStr">
        <x:is>
          <x:t xml:space="preserve">Lana mineral 50-100 mm / barrera humedad</x:t>
        </x:is>
      </x:c>
      <x:c r="X112" s="9" t="inlineStr">
        <x:is>
          <x:t xml:space="preserve">Aluminio termopanel</x:t>
        </x:is>
      </x:c>
      <x:c r="Y112" s="9" t="inlineStr">
        <x:is>
          <x:t xml:space="preserve">Madera tratada</x:t>
        </x:is>
      </x:c>
      <x:c r="Z112" s="9" t="inlineStr">
        <x:is>
          <x:t xml:space="preserve">MDF ranurado</x:t>
        </x:is>
      </x:c>
      <x:c r="AA112" s="9" t="inlineStr">
        <x:is>
          <x:t xml:space="preserve">Fundación corrida</x:t>
        </x:is>
      </x:c>
      <x:c r="AB112" s="15" t="n">
        <x:v>8</x:v>
      </x:c>
      <x:c r="AC112" s="15" t="n">
        <x:v>17</x:v>
      </x:c>
      <x:c r="AD112" s="9" t="inlineStr">
        <x:is>
          <x:t xml:space="preserve">Loteo habitacional</x:t>
        </x:is>
      </x:c>
      <x:c r="AE112" s="9" t="inlineStr">
        <x:is>
          <x:t xml:space="preserve">Centro-sur templado lluvioso</x:t>
        </x:is>
      </x:c>
      <x:c r="AF112" s="10" t="inlineStr">
        <x:is>
          <x:t xml:space="preserve">Especificaciones técnicas de vivienda industrializada en madera (referencial)</x:t>
        </x:is>
      </x:c>
      <x:c r="AG112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12" s="10" t="inlineStr">
        <x:is>
          <x:t xml:space="preserve">Estructura: Wood frame modular; muros Madera estructural + OSB / terciado + barrera hidrófuga de 140 mm con aislación Lana mineral / lana de vidrio / PET reciclado (100 mm); cubierta Cercha de madera + cubierta metálica o tejuela asfáltica de 120 mm; ventanas Aluminio termopanel; revestimiento exterior Siding fibrocemento; interior MDF ranurado; fundación sugerida Pilotes.</x:t>
        </x:is>
      </x:c>
    </x:row>
    <x:row r="113" ht="32" customHeight="1">
      <x:c r="A113" s="9" t="inlineStr">
        <x:is>
          <x:t xml:space="preserve">MOD-0112</x:t>
        </x:is>
      </x:c>
      <x:c r="B113" s="9" t="inlineStr">
        <x:is>
          <x:t xml:space="preserve">EMP-023</x:t>
        </x:is>
      </x:c>
      <x:c r="C113" s="9" t="inlineStr">
        <x:is>
          <x:t xml:space="preserve">Punta Arenas 88</x:t>
        </x:is>
      </x:c>
      <x:c r="D113" s="9" t="inlineStr">
        <x:is>
          <x:t xml:space="preserve">Punta Arenas</x:t>
        </x:is>
      </x:c>
      <x:c r="E113" s="9" t="inlineStr">
        <x:is>
          <x:t xml:space="preserve">Lago</x:t>
        </x:is>
      </x:c>
      <x:c r="F113" s="9" t="inlineStr">
        <x:is>
          <x:t xml:space="preserve">Sí</x:t>
        </x:is>
      </x:c>
      <x:c r="G113" s="9" t="inlineStr">
        <x:is>
          <x:t xml:space="preserve">MODULAR_TIMBER</x:t>
        </x:is>
      </x:c>
      <x:c r="H113" s="15" t="n">
        <x:v>88</x:v>
      </x:c>
      <x:c r="I113" s="9" t="n">
        <x:v>3</x:v>
      </x:c>
      <x:c r="J113" s="9" t="n">
        <x:v>2</x:v>
      </x:c>
      <x:c r="K113" s="9" t="n">
        <x:v>1</x:v>
      </x:c>
      <x:c r="L113" s="9" t="n">
        <x:v>3</x:v>
      </x:c>
      <x:c r="M113" s="12" t="n">
        <x:v>2.5</x:v>
      </x:c>
      <x:c r="N113" s="9" t="inlineStr">
        <x:is>
          <x:t xml:space="preserve">Entramado ligero en pino impregnado</x:t>
        </x:is>
      </x:c>
      <x:c r="O113" s="10" t="inlineStr">
        <x:is>
          <x:t xml:space="preserve">Madera estructural + OSB / terciado + barrera hidrófuga</x:t>
        </x:is>
      </x:c>
      <x:c r="P113" s="15" t="n">
        <x:v>89</x:v>
      </x:c>
      <x:c r="Q113" s="9" t="inlineStr">
        <x:is>
          <x:t xml:space="preserve">Lana mineral / lana de vidrio / PET reciclado</x:t>
        </x:is>
      </x:c>
      <x:c r="R113" s="15" t="n">
        <x:v>60</x:v>
      </x:c>
      <x:c r="S113" s="10" t="inlineStr">
        <x:is>
          <x:t xml:space="preserve">Cercha de madera + cubierta metálica o tejuela asfáltica</x:t>
        </x:is>
      </x:c>
      <x:c r="T113" s="15" t="n">
        <x:v>180</x:v>
      </x:c>
      <x:c r="U113" s="10" t="inlineStr">
        <x:is>
          <x:t xml:space="preserve">Lana mineral 80-140 mm + membrana</x:t>
        </x:is>
      </x:c>
      <x:c r="V113" s="9" t="inlineStr">
        <x:is>
          <x:t xml:space="preserve">Plataforma de madera estructural o radier</x:t>
        </x:is>
      </x:c>
      <x:c r="W113" s="10" t="inlineStr">
        <x:is>
          <x:t xml:space="preserve">Lana mineral 50-100 mm / barrera humedad</x:t>
        </x:is>
      </x:c>
      <x:c r="X113" s="9" t="inlineStr">
        <x:is>
          <x:t xml:space="preserve">Aluminio termopanel</x:t>
        </x:is>
      </x:c>
      <x:c r="Y113" s="9" t="inlineStr">
        <x:is>
          <x:t xml:space="preserve">Siding fibrocemento</x:t>
        </x:is>
      </x:c>
      <x:c r="Z113" s="9" t="inlineStr">
        <x:is>
          <x:t xml:space="preserve">MDF ranurado</x:t>
        </x:is>
      </x:c>
      <x:c r="AA113" s="9" t="inlineStr">
        <x:is>
          <x:t xml:space="preserve">Fundación corrida</x:t>
        </x:is>
      </x:c>
      <x:c r="AB113" s="15" t="n">
        <x:v>7</x:v>
      </x:c>
      <x:c r="AC113" s="15" t="n">
        <x:v>17</x:v>
      </x:c>
      <x:c r="AD113" s="9" t="inlineStr">
        <x:is>
          <x:t xml:space="preserve">Parcela</x:t>
        </x:is>
      </x:c>
      <x:c r="AE113" s="9" t="inlineStr">
        <x:is>
          <x:t xml:space="preserve">Centro-sur templado lluvioso</x:t>
        </x:is>
      </x:c>
      <x:c r="AF113" s="10" t="inlineStr">
        <x:is>
          <x:t xml:space="preserve">Especificaciones técnicas de vivienda industrializada en madera (referencial)</x:t>
        </x:is>
      </x:c>
      <x:c r="AG113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13" s="10" t="inlineStr">
        <x:is>
          <x:t xml:space="preserve">Estructura: Madera laminada y entramado ligero; muros Madera estructural + OSB / terciado + barrera hidrófuga de 89 mm con aislación Lana mineral / lana de vidrio / PET reciclado (60 mm); cubierta Cercha de madera + cubierta metálica o tejuela asfáltica de 180 mm; ventanas Aluminio termopanel; revestimiento exterior Smart Panel; interior Terciado pintado; fundación sugerida Fundación corrida.</x:t>
        </x:is>
      </x:c>
    </x:row>
    <x:row r="114" ht="32" customHeight="1">
      <x:c r="A114" s="9" t="inlineStr">
        <x:is>
          <x:t xml:space="preserve">MOD-0113</x:t>
        </x:is>
      </x:c>
      <x:c r="B114" s="9" t="inlineStr">
        <x:is>
          <x:t xml:space="preserve">EMP-023</x:t>
        </x:is>
      </x:c>
      <x:c r="C114" s="9" t="inlineStr">
        <x:is>
          <x:t xml:space="preserve">Porvenir 104</x:t>
        </x:is>
      </x:c>
      <x:c r="D114" s="9" t="inlineStr">
        <x:is>
          <x:t xml:space="preserve">Porvenir</x:t>
        </x:is>
      </x:c>
      <x:c r="E114" s="9" t="inlineStr">
        <x:is>
          <x:t xml:space="preserve">Valle</x:t>
        </x:is>
      </x:c>
      <x:c r="F114" s="9" t="inlineStr">
        <x:is>
          <x:t xml:space="preserve">Sí</x:t>
        </x:is>
      </x:c>
      <x:c r="G114" s="9" t="inlineStr">
        <x:is>
          <x:t xml:space="preserve">SIP</x:t>
        </x:is>
      </x:c>
      <x:c r="H114" s="15" t="n">
        <x:v>104</x:v>
      </x:c>
      <x:c r="I114" s="9" t="n">
        <x:v>3</x:v>
      </x:c>
      <x:c r="J114" s="9" t="n">
        <x:v>2</x:v>
      </x:c>
      <x:c r="K114" s="9" t="n">
        <x:v>1</x:v>
      </x:c>
      <x:c r="L114" s="9" t="n">
        <x:v>3</x:v>
      </x:c>
      <x:c r="M114" s="12" t="n">
        <x:v>2.4</x:v>
      </x:c>
      <x:c r="N114" s="9" t="inlineStr">
        <x:is>
          <x:t xml:space="preserve">Panel SIP estructural con uniones en pino seco</x:t>
        </x:is>
      </x:c>
      <x:c r="O114" s="10" t="inlineStr">
        <x:is>
          <x:t xml:space="preserve">2 placas OSB estructural + núcleo EPS alta densidad</x:t>
        </x:is>
      </x:c>
      <x:c r="P114" s="15" t="n">
        <x:v>90</x:v>
      </x:c>
      <x:c r="Q114" s="9" t="inlineStr">
        <x:is>
          <x:t xml:space="preserve">EPS alta densidad 15 kg/m³</x:t>
        </x:is>
      </x:c>
      <x:c r="R114" s="15" t="n">
        <x:v>105</x:v>
      </x:c>
      <x:c r="S114" s="10" t="inlineStr">
        <x:is>
          <x:t xml:space="preserve">Panel SIP de cubierta + membrana hidrófuga + hojalatería</x:t>
        </x:is>
      </x:c>
      <x:c r="T114" s="15" t="n">
        <x:v>130</x:v>
      </x:c>
      <x:c r="U114" s="10" t="inlineStr">
        <x:is>
          <x:t xml:space="preserve">EPS integrado + sellos PU</x:t>
        </x:is>
      </x:c>
      <x:c r="V114" s="9" t="inlineStr">
        <x:is>
          <x:t xml:space="preserve">Base entramado madera o radier con barrera de humedad</x:t>
        </x:is>
      </x:c>
      <x:c r="W114" s="10" t="inlineStr">
        <x:is>
          <x:t xml:space="preserve">Aislación bajo piso PET o lana mineral 50-100 mm</x:t>
        </x:is>
      </x:c>
      <x:c r="X114" s="9" t="inlineStr">
        <x:is>
          <x:t xml:space="preserve">Aluminio con termopanel</x:t>
        </x:is>
      </x:c>
      <x:c r="Y114" s="9" t="inlineStr">
        <x:is>
          <x:t xml:space="preserve">Siding fibrocemento</x:t>
        </x:is>
      </x:c>
      <x:c r="Z114" s="9" t="inlineStr">
        <x:is>
          <x:t xml:space="preserve">Yeso cartón RH en zonas húmedas</x:t>
        </x:is>
      </x:c>
      <x:c r="AA114" s="9" t="inlineStr">
        <x:is>
          <x:t xml:space="preserve">Pilotes metálicos</x:t>
        </x:is>
      </x:c>
      <x:c r="AB114" s="15" t="n">
        <x:v>3</x:v>
      </x:c>
      <x:c r="AC114" s="15" t="n">
        <x:v>4</x:v>
      </x:c>
      <x:c r="AD114" s="9" t="inlineStr">
        <x:is>
          <x:t xml:space="preserve">Turismo / arriendo</x:t>
        </x:is>
      </x:c>
      <x:c r="AE114" s="9" t="inlineStr">
        <x:is>
          <x:t xml:space="preserve">Centro-sur templado lluvioso</x:t>
        </x:is>
      </x:c>
      <x:c r="AF114" s="10" t="inlineStr">
        <x:is>
          <x:t xml:space="preserve">NCh3393:2016 (referencial para paneles SIP)</x:t>
        </x:is>
      </x:c>
      <x:c r="AG11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14" s="10" t="inlineStr">
        <x:is>
          <x:t xml:space="preserve">Estructura: Panel SIP estructural OSB/EPS/OSB; muros 2 placas OSB estructural + núcleo EPS alta densidad de 90 mm con aislación EPS alta densidad 15 kg/m³ (105 mm); cubierta Panel SIP de cubierta + membrana hidrófuga + hojalatería de 130 mm; ventanas PVC DVH; revestimiento exterior Plancha metálica prepintada; interior Yeso cartón pintado; fundación sugerida Radier afinado.</x:t>
        </x:is>
      </x:c>
    </x:row>
    <x:row r="115" ht="32" customHeight="1">
      <x:c r="A115" s="9" t="inlineStr">
        <x:is>
          <x:t xml:space="preserve">MOD-0114</x:t>
        </x:is>
      </x:c>
      <x:c r="B115" s="9" t="inlineStr">
        <x:is>
          <x:t xml:space="preserve">EMP-023</x:t>
        </x:is>
      </x:c>
      <x:c r="C115" s="9" t="inlineStr">
        <x:is>
          <x:t xml:space="preserve">Maipo 132</x:t>
        </x:is>
      </x:c>
      <x:c r="D115" s="9" t="inlineStr">
        <x:is>
          <x:t xml:space="preserve">Maipo</x:t>
        </x:is>
      </x:c>
      <x:c r="E115" s="9" t="inlineStr">
        <x:is>
          <x:t xml:space="preserve">Lago</x:t>
        </x:is>
      </x:c>
      <x:c r="F115" s="9" t="inlineStr">
        <x:is>
          <x:t xml:space="preserve">Sí</x:t>
        </x:is>
      </x:c>
      <x:c r="G115" s="9" t="inlineStr">
        <x:is>
          <x:t xml:space="preserve">HYBRID_MODULAR</x:t>
        </x:is>
      </x:c>
      <x:c r="H115" s="15" t="n">
        <x:v>132</x:v>
      </x:c>
      <x:c r="I115" s="9" t="n">
        <x:v>3</x:v>
      </x:c>
      <x:c r="J115" s="9" t="n">
        <x:v>2</x:v>
      </x:c>
      <x:c r="K115" s="9" t="n">
        <x:v>2</x:v>
      </x:c>
      <x:c r="L115" s="9" t="n">
        <x:v>3</x:v>
      </x:c>
      <x:c r="M115" s="12" t="n">
        <x:v>2.35</x:v>
      </x:c>
      <x:c r="N115" s="9" t="inlineStr">
        <x:is>
          <x:t xml:space="preserve">Estructura híbrida acero-madera panelizada</x:t>
        </x:is>
      </x:c>
      <x:c r="O115" s="10" t="inlineStr">
        <x:is>
          <x:t xml:space="preserve">Acero galvanizado o madera laminada + panel SIP MgO/OSB</x:t>
        </x:is>
      </x:c>
      <x:c r="P115" s="15" t="n">
        <x:v>120</x:v>
      </x:c>
      <x:c r="Q115" s="9" t="inlineStr">
        <x:is>
          <x:t xml:space="preserve">Lana mineral 75-100 mm o EPS integrado</x:t>
        </x:is>
      </x:c>
      <x:c r="R115" s="15" t="n">
        <x:v>90</x:v>
      </x:c>
      <x:c r="S115" s="10" t="inlineStr">
        <x:is>
          <x:t xml:space="preserve">Módulo volumétrico con cubierta panelizada</x:t>
        </x:is>
      </x:c>
      <x:c r="T115" s="15" t="n">
        <x:v>140</x:v>
      </x:c>
      <x:c r="U115" s="10" t="inlineStr">
        <x:is>
          <x:t xml:space="preserve">Lana mineral / EPS / barrera vapor</x:t>
        </x:is>
      </x:c>
      <x:c r="V115" s="9" t="inlineStr">
        <x:is>
          <x:t xml:space="preserve">Bastidor metálico o madera laminada</x:t>
        </x:is>
      </x:c>
      <x:c r="W115" s="10" t="inlineStr">
        <x:is>
          <x:t xml:space="preserve">Lana mineral 80-100 mm + fibrocemento</x:t>
        </x:is>
      </x:c>
      <x:c r="X115" s="9" t="inlineStr">
        <x:is>
          <x:t xml:space="preserve">Aluminio termopanel</x:t>
        </x:is>
      </x:c>
      <x:c r="Y115" s="9" t="inlineStr">
        <x:is>
          <x:t xml:space="preserve">Plancha metálica</x:t>
        </x:is>
      </x:c>
      <x:c r="Z115" s="9" t="inlineStr">
        <x:is>
          <x:t xml:space="preserve">Yeso cartón RH</x:t>
        </x:is>
      </x:c>
      <x:c r="AA115" s="9" t="inlineStr">
        <x:is>
          <x:t xml:space="preserve">Pilotes ajustables</x:t>
        </x:is>
      </x:c>
      <x:c r="AB115" s="15" t="n">
        <x:v>10</x:v>
      </x:c>
      <x:c r="AC115" s="15" t="n">
        <x:v>6</x:v>
      </x:c>
      <x:c r="AD115" s="9" t="inlineStr">
        <x:is>
          <x:t xml:space="preserve">Loteo habitacional</x:t>
        </x:is>
      </x:c>
      <x:c r="AE115" s="9" t="inlineStr">
        <x:is>
          <x:t xml:space="preserve">Centro-sur templado lluvioso</x:t>
        </x:is>
      </x:c>
      <x:c r="AF115" s="10" t="inlineStr">
        <x:is>
          <x:t xml:space="preserve">Criterios de prefabricación modular y coordinación BIM (referencial)</x:t>
        </x:is>
      </x:c>
      <x:c r="AG115" s="10" t="inlineStr">
        <x:is>
          <x:t xml:space="preserve">https://modul.cl/construccion-de-casas-prefabricadas-modulares/ | https://tecnofasthome.cl/casas-modulares/</x:t>
        </x:is>
      </x:c>
      <x:c r="AH115" s="10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140 mm; ventanas PVC termopanel; revestimiento exterior Madera tratada; interior Yeso cartón RH; fundación sugerida Dados de hormigón.</x:t>
        </x:is>
      </x:c>
    </x:row>
    <x:row r="116" ht="32" customHeight="1">
      <x:c r="A116" s="9" t="inlineStr">
        <x:is>
          <x:t xml:space="preserve">MOD-0115</x:t>
        </x:is>
      </x:c>
      <x:c r="B116" s="9" t="inlineStr">
        <x:is>
          <x:t xml:space="preserve">EMP-023</x:t>
        </x:is>
      </x:c>
      <x:c r="C116" s="9" t="inlineStr">
        <x:is>
          <x:t xml:space="preserve">Rapel 210</x:t>
        </x:is>
      </x:c>
      <x:c r="D116" s="9" t="inlineStr">
        <x:is>
          <x:t xml:space="preserve">Rapel</x:t>
        </x:is>
      </x:c>
      <x:c r="E116" s="9" t="inlineStr">
        <x:is>
          <x:t xml:space="preserve">Río</x:t>
        </x:is>
      </x:c>
      <x:c r="F116" s="9" t="inlineStr">
        <x:is>
          <x:t xml:space="preserve">Sí</x:t>
        </x:is>
      </x:c>
      <x:c r="G116" s="9" t="inlineStr">
        <x:is>
          <x:t xml:space="preserve">STEEL_FRAME</x:t>
        </x:is>
      </x:c>
      <x:c r="H116" s="15" t="n">
        <x:v>210</x:v>
      </x:c>
      <x:c r="I116" s="9" t="n">
        <x:v>4</x:v>
      </x:c>
      <x:c r="J116" s="9" t="n">
        <x:v>3</x:v>
      </x:c>
      <x:c r="K116" s="9" t="n">
        <x:v>1</x:v>
      </x:c>
      <x:c r="L116" s="9" t="n">
        <x:v>4</x:v>
      </x:c>
      <x:c r="M116" s="12" t="n">
        <x:v>2.35</x:v>
      </x:c>
      <x:c r="N116" s="9" t="inlineStr">
        <x:is>
          <x:t xml:space="preserve">Panelizado steel frame industrializado</x:t>
        </x:is>
      </x:c>
      <x:c r="O116" s="10" t="inlineStr">
        <x:is>
          <x:t xml:space="preserve">Acero galvanizado + placa OSB/fibrocemento + cámara técnica</x:t>
        </x:is>
      </x:c>
      <x:c r="P116" s="15" t="n">
        <x:v>90</x:v>
      </x:c>
      <x:c r="Q116" s="9" t="inlineStr">
        <x:is>
          <x:t xml:space="preserve">Lana mineral o lana de roca / PET / EPS según zona térmica</x:t>
        </x:is>
      </x:c>
      <x:c r="R116" s="15" t="n">
        <x:v>60</x:v>
      </x:c>
      <x:c r="S116" s="10" t="inlineStr">
        <x:is>
          <x:t xml:space="preserve">Cerchas o paneles steel frame + cubierta metálica</x:t>
        </x:is>
      </x:c>
      <x:c r="T116" s="15" t="n">
        <x:v>120</x:v>
      </x:c>
      <x:c r="U116" s="10" t="inlineStr">
        <x:is>
          <x:t xml:space="preserve">Lana mineral / lana de roca + barrera de vapor</x:t>
        </x:is>
      </x:c>
      <x:c r="V116" s="9" t="inlineStr">
        <x:is>
          <x:t xml:space="preserve">Envigado metálico o plataforma estructural</x:t>
        </x:is>
      </x:c>
      <x:c r="W116" s="10" t="inlineStr">
        <x:is>
          <x:t xml:space="preserve">Lana mineral 50-100 mm + placas estructurales</x:t>
        </x:is>
      </x:c>
      <x:c r="X116" s="9" t="inlineStr">
        <x:is>
          <x:t xml:space="preserve">PVC termopanel</x:t>
        </x:is>
      </x:c>
      <x:c r="Y116" s="9" t="inlineStr">
        <x:is>
          <x:t xml:space="preserve">Plancha metálica</x:t>
        </x:is>
      </x:c>
      <x:c r="Z116" s="9" t="inlineStr">
        <x:is>
          <x:t xml:space="preserve">MDF pintado</x:t>
        </x:is>
      </x:c>
      <x:c r="AA116" s="9" t="inlineStr">
        <x:is>
          <x:t xml:space="preserve">Radier reforzado</x:t>
        </x:is>
      </x:c>
      <x:c r="AB116" s="15" t="n">
        <x:v>7</x:v>
      </x:c>
      <x:c r="AC116" s="15" t="n">
        <x:v>7</x:v>
      </x:c>
      <x:c r="AD116" s="9" t="inlineStr">
        <x:is>
          <x:t xml:space="preserve">Loteo habitacional</x:t>
        </x:is>
      </x:c>
      <x:c r="AE116" s="9" t="inlineStr">
        <x:is>
          <x:t xml:space="preserve">Centro-sur templado lluvioso</x:t>
        </x:is>
      </x:c>
      <x:c r="AF116" s="10" t="inlineStr">
        <x:is>
          <x:t xml:space="preserve">Criterio térmico referencial OGUC / reglamentación térmica vigente</x:t>
        </x:is>
      </x:c>
      <x:c r="AG116" s="10" t="inlineStr">
        <x:is>
          <x:t xml:space="preserve">https://www.steelframe.cl/ | https://vhaceros.cl/blog/steel-framing-principios-estructurales-y-ventajas-en-la-construccion-chilena/</x:t>
        </x:is>
      </x:c>
      <x:c r="AH116" s="10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120 mm; ventanas PVC termopanel; revestimiento exterior Estuco sobre placa cementicia; interior MDF pintado; fundación sugerida Pilotes.</x:t>
        </x:is>
      </x:c>
    </x:row>
    <x:row r="117" ht="32" customHeight="1">
      <x:c r="A117" s="9" t="inlineStr">
        <x:is>
          <x:t xml:space="preserve">MOD-0116</x:t>
        </x:is>
      </x:c>
      <x:c r="B117" s="9" t="inlineStr">
        <x:is>
          <x:t xml:space="preserve">EMP-024</x:t>
        </x:is>
      </x:c>
      <x:c r="C117" s="9" t="inlineStr">
        <x:is>
          <x:t xml:space="preserve">Mataquito 36</x:t>
        </x:is>
      </x:c>
      <x:c r="D117" s="9" t="inlineStr">
        <x:is>
          <x:t xml:space="preserve">Mataquito</x:t>
        </x:is>
      </x:c>
      <x:c r="E117" s="9" t="inlineStr">
        <x:is>
          <x:t xml:space="preserve">Valle</x:t>
        </x:is>
      </x:c>
      <x:c r="F117" s="9" t="inlineStr">
        <x:is>
          <x:t xml:space="preserve">Sí</x:t>
        </x:is>
      </x:c>
      <x:c r="G117" s="9" t="inlineStr">
        <x:is>
          <x:t xml:space="preserve">CONTAINER</x:t>
        </x:is>
      </x:c>
      <x:c r="H117" s="15" t="n">
        <x:v>36</x:v>
      </x:c>
      <x:c r="I117" s="9" t="n">
        <x:v>1</x:v>
      </x:c>
      <x:c r="J117" s="9" t="n">
        <x:v>1</x:v>
      </x:c>
      <x:c r="K117" s="9" t="n">
        <x:v>1</x:v>
      </x:c>
      <x:c r="L117" s="9" t="n">
        <x:v>1</x:v>
      </x:c>
      <x:c r="M117" s="12" t="n">
        <x:v>2.4</x:v>
      </x:c>
      <x:c r="N117" s="9" t="inlineStr">
        <x:is>
          <x:t xml:space="preserve">Contenedor marítimo acondicionado</x:t>
        </x:is>
      </x:c>
      <x:c r="O117" s="10" t="inlineStr">
        <x:is>
          <x:t xml:space="preserve">Estructura container + subestructura interior + revestimiento</x:t>
        </x:is>
      </x:c>
      <x:c r="P117" s="15" t="n">
        <x:v>90</x:v>
      </x:c>
      <x:c r="Q117" s="9" t="inlineStr">
        <x:is>
          <x:t xml:space="preserve">Poliuretano proyectado o EPS/Aislapol 40-60 mm</x:t>
        </x:is>
      </x:c>
      <x:c r="R117" s="15" t="n">
        <x:v>50</x:v>
      </x:c>
      <x:c r="S117" s="10" t="inlineStr">
        <x:is>
          <x:t xml:space="preserve">Cubierta metálica container + sobretecho ventilado opcional</x:t>
        </x:is>
      </x:c>
      <x:c r="T117" s="15" t="n">
        <x:v>80</x:v>
      </x:c>
      <x:c r="U117" s="10" t="inlineStr">
        <x:is>
          <x:t xml:space="preserve">Poliuretano / EPS + barrera anticondensación</x:t>
        </x:is>
      </x:c>
      <x:c r="V117" s="9" t="inlineStr">
        <x:is>
          <x:t xml:space="preserve">Piso terciado 18 mm o base original acondicionada + vinílico</x:t>
        </x:is>
      </x:c>
      <x:c r="W117" s="10" t="inlineStr">
        <x:is>
          <x:t xml:space="preserve">Aislación bajo piso 40-80 mm</x:t>
        </x:is>
      </x:c>
      <x:c r="X117" s="9" t="inlineStr">
        <x:is>
          <x:t xml:space="preserve">Aluminio termopanel</x:t>
        </x:is>
      </x:c>
      <x:c r="Y117" s="9" t="inlineStr">
        <x:is>
          <x:t xml:space="preserve">Plancha metálica prepintada</x:t>
        </x:is>
      </x:c>
      <x:c r="Z117" s="9" t="inlineStr">
        <x:is>
          <x:t xml:space="preserve">Madera pintada</x:t>
        </x:is>
      </x:c>
      <x:c r="AA117" s="9" t="inlineStr">
        <x:is>
          <x:t xml:space="preserve">Dados de hormigón</x:t>
        </x:is>
      </x:c>
      <x:c r="AB117" s="15" t="n">
        <x:v>3</x:v>
      </x:c>
      <x:c r="AC117" s="15" t="n">
        <x:v>2</x:v>
      </x:c>
      <x:c r="AD117" s="9" t="inlineStr">
        <x:is>
          <x:t xml:space="preserve">Oficina + vivienda</x:t>
        </x:is>
      </x:c>
      <x:c r="AE117" s="9" t="inlineStr">
        <x:is>
          <x:t xml:space="preserve">Centro-sur templado lluvioso</x:t>
        </x:is>
      </x:c>
      <x:c r="AF117" s="10" t="inlineStr">
        <x:is>
          <x:t xml:space="preserve">Criterios de aislación, ventilación y tratamiento anticorrosivo (referencial)</x:t>
        </x:is>
      </x:c>
      <x:c r="AG117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17" s="10" t="inlineStr">
        <x:is>
          <x:t xml:space="preserve">Estructura: Módulo habitacional de acero galvanizado / corten; muros Estructura container + subestructura interior + revestimiento de 90 mm con aislación Poliuretano proyectado o EPS/Aislapol 40-60 mm (50 mm); cubierta Cubierta metálica container + sobretecho ventilado opcional de 80 mm; ventanas PVC termopanel; revestimiento exterior Madera tratada ventilada; interior Melamina; fundación sugerida Pilotes metálicos.</x:t>
        </x:is>
      </x:c>
    </x:row>
    <x:row r="118" ht="32" customHeight="1">
      <x:c r="A118" s="9" t="inlineStr">
        <x:is>
          <x:t xml:space="preserve">MOD-0117</x:t>
        </x:is>
      </x:c>
      <x:c r="B118" s="9" t="inlineStr">
        <x:is>
          <x:t xml:space="preserve">EMP-024</x:t>
        </x:is>
      </x:c>
      <x:c r="C118" s="9" t="inlineStr">
        <x:is>
          <x:t xml:space="preserve">Maule 112</x:t>
        </x:is>
      </x:c>
      <x:c r="D118" s="9" t="inlineStr">
        <x:is>
          <x:t xml:space="preserve">Maule</x:t>
        </x:is>
      </x:c>
      <x:c r="E118" s="9" t="inlineStr">
        <x:is>
          <x:t xml:space="preserve">Valle</x:t>
        </x:is>
      </x:c>
      <x:c r="F118" s="9" t="inlineStr">
        <x:is>
          <x:t xml:space="preserve">Sí</x:t>
        </x:is>
      </x:c>
      <x:c r="G118" s="9" t="inlineStr">
        <x:is>
          <x:t xml:space="preserve">CONTAINER</x:t>
        </x:is>
      </x:c>
      <x:c r="H118" s="15" t="n">
        <x:v>112</x:v>
      </x:c>
      <x:c r="I118" s="9" t="n">
        <x:v>3</x:v>
      </x:c>
      <x:c r="J118" s="9" t="n">
        <x:v>2</x:v>
      </x:c>
      <x:c r="K118" s="9" t="n">
        <x:v>1</x:v>
      </x:c>
      <x:c r="L118" s="9" t="n">
        <x:v>3</x:v>
      </x:c>
      <x:c r="M118" s="12" t="n">
        <x:v>2.4</x:v>
      </x:c>
      <x:c r="N118" s="9" t="inlineStr">
        <x:is>
          <x:t xml:space="preserve">Contenedor marítimo acondicionado</x:t>
        </x:is>
      </x:c>
      <x:c r="O118" s="10" t="inlineStr">
        <x:is>
          <x:t xml:space="preserve">Estructura container + subestructura interior + revestimiento</x:t>
        </x:is>
      </x:c>
      <x:c r="P118" s="15" t="n">
        <x:v>90</x:v>
      </x:c>
      <x:c r="Q118" s="9" t="inlineStr">
        <x:is>
          <x:t xml:space="preserve">Poliuretano proyectado o EPS/Aislapol 40-60 mm</x:t>
        </x:is>
      </x:c>
      <x:c r="R118" s="15" t="n">
        <x:v>50</x:v>
      </x:c>
      <x:c r="S118" s="10" t="inlineStr">
        <x:is>
          <x:t xml:space="preserve">Cubierta metálica container + sobretecho ventilado opcional</x:t>
        </x:is>
      </x:c>
      <x:c r="T118" s="15" t="n">
        <x:v>100</x:v>
      </x:c>
      <x:c r="U118" s="10" t="inlineStr">
        <x:is>
          <x:t xml:space="preserve">Poliuretano / EPS + barrera anticondensación</x:t>
        </x:is>
      </x:c>
      <x:c r="V118" s="9" t="inlineStr">
        <x:is>
          <x:t xml:space="preserve">Piso terciado 18 mm o base original acondicionada + vinílico</x:t>
        </x:is>
      </x:c>
      <x:c r="W118" s="10" t="inlineStr">
        <x:is>
          <x:t xml:space="preserve">Aislación bajo piso 40-80 mm</x:t>
        </x:is>
      </x:c>
      <x:c r="X118" s="9" t="inlineStr">
        <x:is>
          <x:t xml:space="preserve">Aluminio termopanel</x:t>
        </x:is>
      </x:c>
      <x:c r="Y118" s="9" t="inlineStr">
        <x:is>
          <x:t xml:space="preserve">Acero galvanizado pintado</x:t>
        </x:is>
      </x:c>
      <x:c r="Z118" s="9" t="inlineStr">
        <x:is>
          <x:t xml:space="preserve">Melamina</x:t>
        </x:is>
      </x:c>
      <x:c r="AA118" s="9" t="inlineStr">
        <x:is>
          <x:t xml:space="preserve">Radier</x:t>
        </x:is>
      </x:c>
      <x:c r="AB118" s="15" t="n">
        <x:v>4</x:v>
      </x:c>
      <x:c r="AC118" s="15" t="n">
        <x:v>7</x:v>
      </x:c>
      <x:c r="AD118" s="9" t="inlineStr">
        <x:is>
          <x:t xml:space="preserve">Turismo / arriendo</x:t>
        </x:is>
      </x:c>
      <x:c r="AE118" s="9" t="inlineStr">
        <x:is>
          <x:t xml:space="preserve">Centro-sur templado lluvioso</x:t>
        </x:is>
      </x:c>
      <x:c r="AF118" s="10" t="inlineStr">
        <x:is>
          <x:t xml:space="preserve">Criterios de aislación, ventilación y tratamiento anticorrosivo (referencial)</x:t>
        </x:is>
      </x:c>
      <x:c r="AG118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18" s="10" t="inlineStr">
        <x:is>
          <x:t xml:space="preserve">Estructura: Contenedor marítimo acondicionado; muros Estructura container + subestructura interior + revestimiento de 90 mm con aislación Poliuretano proyectado o EPS/Aislapol 40-60 mm (50 mm); cubierta Cubierta metálica container + sobretecho ventilado opcional de 100 mm; ventanas PVC termopanel; revestimiento exterior Plancha metálica prepintada; interior Madera pintada; fundación sugerida Pilotes metálicos.</x:t>
        </x:is>
      </x:c>
    </x:row>
    <x:row r="119" ht="32" customHeight="1">
      <x:c r="A119" s="9" t="inlineStr">
        <x:is>
          <x:t xml:space="preserve">MOD-0118</x:t>
        </x:is>
      </x:c>
      <x:c r="B119" s="9" t="inlineStr">
        <x:is>
          <x:t xml:space="preserve">EMP-024</x:t>
        </x:is>
      </x:c>
      <x:c r="C119" s="9" t="inlineStr">
        <x:is>
          <x:t xml:space="preserve">Itata 96</x:t>
        </x:is>
      </x:c>
      <x:c r="D119" s="9" t="inlineStr">
        <x:is>
          <x:t xml:space="preserve">Itata</x:t>
        </x:is>
      </x:c>
      <x:c r="E119" s="9" t="inlineStr">
        <x:is>
          <x:t xml:space="preserve">Volcán</x:t>
        </x:is>
      </x:c>
      <x:c r="F119" s="9" t="inlineStr">
        <x:is>
          <x:t xml:space="preserve">Sí</x:t>
        </x:is>
      </x:c>
      <x:c r="G119" s="9" t="inlineStr">
        <x:is>
          <x:t xml:space="preserve">HYBRID_MODULAR</x:t>
        </x:is>
      </x:c>
      <x:c r="H119" s="15" t="n">
        <x:v>96</x:v>
      </x:c>
      <x:c r="I119" s="9" t="n">
        <x:v>3</x:v>
      </x:c>
      <x:c r="J119" s="9" t="n">
        <x:v>2</x:v>
      </x:c>
      <x:c r="K119" s="9" t="n">
        <x:v>1</x:v>
      </x:c>
      <x:c r="L119" s="9" t="n">
        <x:v>3</x:v>
      </x:c>
      <x:c r="M119" s="12" t="n">
        <x:v>2.45</x:v>
      </x:c>
      <x:c r="N119" s="9" t="inlineStr">
        <x:is>
          <x:t xml:space="preserve">Módulos de acero + paneles SIP</x:t>
        </x:is>
      </x:c>
      <x:c r="O119" s="10" t="inlineStr">
        <x:is>
          <x:t xml:space="preserve">Acero galvanizado o madera laminada + panel SIP MgO/OSB</x:t>
        </x:is>
      </x:c>
      <x:c r="P119" s="15" t="n">
        <x:v>140</x:v>
      </x:c>
      <x:c r="Q119" s="9" t="inlineStr">
        <x:is>
          <x:t xml:space="preserve">Lana mineral 75-100 mm o EPS integrado</x:t>
        </x:is>
      </x:c>
      <x:c r="R119" s="15" t="n">
        <x:v>90</x:v>
      </x:c>
      <x:c r="S119" s="10" t="inlineStr">
        <x:is>
          <x:t xml:space="preserve">Módulo volumétrico con cubierta panelizada</x:t>
        </x:is>
      </x:c>
      <x:c r="T119" s="15" t="n">
        <x:v>160</x:v>
      </x:c>
      <x:c r="U119" s="10" t="inlineStr">
        <x:is>
          <x:t xml:space="preserve">Lana mineral / EPS / barrera vapor</x:t>
        </x:is>
      </x:c>
      <x:c r="V119" s="9" t="inlineStr">
        <x:is>
          <x:t xml:space="preserve">Bastidor metálico o madera laminada</x:t>
        </x:is>
      </x:c>
      <x:c r="W119" s="10" t="inlineStr">
        <x:is>
          <x:t xml:space="preserve">Lana mineral 80-100 mm + fibrocemento</x:t>
        </x:is>
      </x:c>
      <x:c r="X119" s="9" t="inlineStr">
        <x:is>
          <x:t xml:space="preserve">Aluminio termopanel</x:t>
        </x:is>
      </x:c>
      <x:c r="Y119" s="9" t="inlineStr">
        <x:is>
          <x:t xml:space="preserve">Fibrocemento tipo siding</x:t>
        </x:is>
      </x:c>
      <x:c r="Z119" s="9" t="inlineStr">
        <x:is>
          <x:t xml:space="preserve">Yeso cartón RH</x:t>
        </x:is>
      </x:c>
      <x:c r="AA119" s="9" t="inlineStr">
        <x:is>
          <x:t xml:space="preserve">Dados de hormigón</x:t>
        </x:is>
      </x:c>
      <x:c r="AB119" s="15" t="n">
        <x:v>6</x:v>
      </x:c>
      <x:c r="AC119" s="15" t="n">
        <x:v>5</x:v>
      </x:c>
      <x:c r="AD119" s="9" t="inlineStr">
        <x:is>
          <x:t xml:space="preserve">Oficina + vivienda</x:t>
        </x:is>
      </x:c>
      <x:c r="AE119" s="9" t="inlineStr">
        <x:is>
          <x:t xml:space="preserve">Centro-sur templado lluvioso</x:t>
        </x:is>
      </x:c>
      <x:c r="AF119" s="10" t="inlineStr">
        <x:is>
          <x:t xml:space="preserve">Criterios de prefabricación modular y coordinación BIM (referencial)</x:t>
        </x:is>
      </x:c>
      <x:c r="AG119" s="10" t="inlineStr">
        <x:is>
          <x:t xml:space="preserve">https://modul.cl/construccion-de-casas-prefabricadas-modulares/ | https://tecnofasthome.cl/casas-modulares/</x:t>
        </x:is>
      </x:c>
      <x:c r="AH119" s="10" t="inlineStr">
        <x:is>
          <x:t xml:space="preserve">Estructura: Estructura híbrida acero-madera panelizada; muros Acero galvanizado o madera laminada + panel SIP MgO/OSB de 140 mm con aislación Lana mineral 75-100 mm o EPS integrado (90 mm); cubierta Módulo volumétrico con cubierta panelizada de 160 mm; ventanas PVC termopanel; revestimiento exterior Fibrocemento tipo siding; interior Yeso cartón RH; fundación sugerida Dados de hormigón.</x:t>
        </x:is>
      </x:c>
    </x:row>
    <x:row r="120" ht="32" customHeight="1">
      <x:c r="A120" s="9" t="inlineStr">
        <x:is>
          <x:t xml:space="preserve">MOD-0119</x:t>
        </x:is>
      </x:c>
      <x:c r="B120" s="9" t="inlineStr">
        <x:is>
          <x:t xml:space="preserve">EMP-024</x:t>
        </x:is>
      </x:c>
      <x:c r="C120" s="9" t="inlineStr">
        <x:is>
          <x:t xml:space="preserve">Biobío 132</x:t>
        </x:is>
      </x:c>
      <x:c r="D120" s="9" t="inlineStr">
        <x:is>
          <x:t xml:space="preserve">Biobío</x:t>
        </x:is>
      </x:c>
      <x:c r="E120" s="9" t="inlineStr">
        <x:is>
          <x:t xml:space="preserve">Ciudad</x:t>
        </x:is>
      </x:c>
      <x:c r="F120" s="9" t="inlineStr">
        <x:is>
          <x:t xml:space="preserve">Sí</x:t>
        </x:is>
      </x:c>
      <x:c r="G120" s="9" t="inlineStr">
        <x:is>
          <x:t xml:space="preserve">SIP</x:t>
        </x:is>
      </x:c>
      <x:c r="H120" s="15" t="n">
        <x:v>132</x:v>
      </x:c>
      <x:c r="I120" s="9" t="n">
        <x:v>3</x:v>
      </x:c>
      <x:c r="J120" s="9" t="n">
        <x:v>2</x:v>
      </x:c>
      <x:c r="K120" s="9" t="n">
        <x:v>2</x:v>
      </x:c>
      <x:c r="L120" s="9" t="n">
        <x:v>3</x:v>
      </x:c>
      <x:c r="M120" s="12" t="n">
        <x:v>2.45</x:v>
      </x:c>
      <x:c r="N120" s="9" t="inlineStr">
        <x:is>
          <x:t xml:space="preserve">Panel SIP estructural OSB/EPS/OSB</x:t>
        </x:is>
      </x:c>
      <x:c r="O120" s="10" t="inlineStr">
        <x:is>
          <x:t xml:space="preserve">2 placas OSB estructural + núcleo EPS alta densidad</x:t>
        </x:is>
      </x:c>
      <x:c r="P120" s="15" t="n">
        <x:v>114</x:v>
      </x:c>
      <x:c r="Q120" s="9" t="inlineStr">
        <x:is>
          <x:t xml:space="preserve">EPS alta densidad 15 kg/m³</x:t>
        </x:is>
      </x:c>
      <x:c r="R120" s="15" t="n">
        <x:v>53</x:v>
      </x:c>
      <x:c r="S120" s="10" t="inlineStr">
        <x:is>
          <x:t xml:space="preserve">Panel SIP de cubierta + membrana hidrófuga + hojalatería</x:t>
        </x:is>
      </x:c>
      <x:c r="T120" s="15" t="n">
        <x:v>114</x:v>
      </x:c>
      <x:c r="U120" s="10" t="inlineStr">
        <x:is>
          <x:t xml:space="preserve">EPS integrado + sellos PU</x:t>
        </x:is>
      </x:c>
      <x:c r="V120" s="9" t="inlineStr">
        <x:is>
          <x:t xml:space="preserve">Base entramado madera o radier con barrera de humedad</x:t>
        </x:is>
      </x:c>
      <x:c r="W120" s="10" t="inlineStr">
        <x:is>
          <x:t xml:space="preserve">Aislación bajo piso PET o lana mineral 50-100 mm</x:t>
        </x:is>
      </x:c>
      <x:c r="X120" s="9" t="inlineStr">
        <x:is>
          <x:t xml:space="preserve">Aluminio con termopanel</x:t>
        </x:is>
      </x:c>
      <x:c r="Y120" s="9" t="inlineStr">
        <x:is>
          <x:t xml:space="preserve">Plancha metálica prepintada</x:t>
        </x:is>
      </x:c>
      <x:c r="Z120" s="9" t="inlineStr">
        <x:is>
          <x:t xml:space="preserve">MDF en zonas secas</x:t>
        </x:is>
      </x:c>
      <x:c r="AA120" s="9" t="inlineStr">
        <x:is>
          <x:t xml:space="preserve">Pilotes metálicos</x:t>
        </x:is>
      </x:c>
      <x:c r="AB120" s="15" t="n">
        <x:v>6</x:v>
      </x:c>
      <x:c r="AC120" s="15" t="n">
        <x:v>10</x:v>
      </x:c>
      <x:c r="AD120" s="9" t="inlineStr">
        <x:is>
          <x:t xml:space="preserve">Cabaña permanente</x:t>
        </x:is>
      </x:c>
      <x:c r="AE120" s="9" t="inlineStr">
        <x:is>
          <x:t xml:space="preserve">Centro-sur templado lluvioso</x:t>
        </x:is>
      </x:c>
      <x:c r="AF120" s="10" t="inlineStr">
        <x:is>
          <x:t xml:space="preserve">NCh3393:2016 (referencial para paneles SIP)</x:t>
        </x:is>
      </x:c>
      <x:c r="AG120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0" s="10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114 mm; ventanas PVC termopanel; revestimiento exterior Plancha metálica prepintada; interior Yeso cartón pintado; fundación sugerida Radier afinado.</x:t>
        </x:is>
      </x:c>
    </x:row>
    <x:row r="121" ht="32" customHeight="1">
      <x:c r="A121" s="9" t="inlineStr">
        <x:is>
          <x:t xml:space="preserve">MOD-0120</x:t>
        </x:is>
      </x:c>
      <x:c r="B121" s="9" t="inlineStr">
        <x:is>
          <x:t xml:space="preserve">EMP-024</x:t>
        </x:is>
      </x:c>
      <x:c r="C121" s="9" t="inlineStr">
        <x:is>
          <x:t xml:space="preserve">Laja 192</x:t>
        </x:is>
      </x:c>
      <x:c r="D121" s="9" t="inlineStr">
        <x:is>
          <x:t xml:space="preserve">Laja</x:t>
        </x:is>
      </x:c>
      <x:c r="E121" s="9" t="inlineStr">
        <x:is>
          <x:t xml:space="preserve">Archipiélago</x:t>
        </x:is>
      </x:c>
      <x:c r="F121" s="9" t="inlineStr">
        <x:is>
          <x:t xml:space="preserve">Sí</x:t>
        </x:is>
      </x:c>
      <x:c r="G121" s="9" t="inlineStr">
        <x:is>
          <x:t xml:space="preserve">STEEL_FRAME</x:t>
        </x:is>
      </x:c>
      <x:c r="H121" s="15" t="n">
        <x:v>192</x:v>
      </x:c>
      <x:c r="I121" s="9" t="n">
        <x:v>4</x:v>
      </x:c>
      <x:c r="J121" s="9" t="n">
        <x:v>3</x:v>
      </x:c>
      <x:c r="K121" s="9" t="n">
        <x:v>1</x:v>
      </x:c>
      <x:c r="L121" s="9" t="n">
        <x:v>4</x:v>
      </x:c>
      <x:c r="M121" s="12" t="n">
        <x:v>2.5</x:v>
      </x:c>
      <x:c r="N121" s="9" t="inlineStr">
        <x:is>
          <x:t xml:space="preserve">Panelizado steel frame industrializado</x:t>
        </x:is>
      </x:c>
      <x:c r="O121" s="10" t="inlineStr">
        <x:is>
          <x:t xml:space="preserve">Acero galvanizado + placa OSB/fibrocemento + cámara técnica</x:t>
        </x:is>
      </x:c>
      <x:c r="P121" s="15" t="n">
        <x:v>90</x:v>
      </x:c>
      <x:c r="Q121" s="9" t="inlineStr">
        <x:is>
          <x:t xml:space="preserve">Lana mineral o lana de roca / PET / EPS según zona térmica</x:t>
        </x:is>
      </x:c>
      <x:c r="R121" s="15" t="n">
        <x:v>60</x:v>
      </x:c>
      <x:c r="S121" s="10" t="inlineStr">
        <x:is>
          <x:t xml:space="preserve">Cerchas o paneles steel frame + cubierta metálica</x:t>
        </x:is>
      </x:c>
      <x:c r="T121" s="15" t="n">
        <x:v>120</x:v>
      </x:c>
      <x:c r="U121" s="10" t="inlineStr">
        <x:is>
          <x:t xml:space="preserve">Lana mineral / lana de roca + barrera de vapor</x:t>
        </x:is>
      </x:c>
      <x:c r="V121" s="9" t="inlineStr">
        <x:is>
          <x:t xml:space="preserve">Envigado metálico o plataforma estructural</x:t>
        </x:is>
      </x:c>
      <x:c r="W121" s="10" t="inlineStr">
        <x:is>
          <x:t xml:space="preserve">Lana mineral 50-100 mm + placas estructurales</x:t>
        </x:is>
      </x:c>
      <x:c r="X121" s="9" t="inlineStr">
        <x:is>
          <x:t xml:space="preserve">Aluminio RPT termopanel</x:t>
        </x:is>
      </x:c>
      <x:c r="Y121" s="9" t="inlineStr">
        <x:is>
          <x:t xml:space="preserve">Siding fibrocemento</x:t>
        </x:is>
      </x:c>
      <x:c r="Z121" s="9" t="inlineStr">
        <x:is>
          <x:t xml:space="preserve">MDF pintado</x:t>
        </x:is>
      </x:c>
      <x:c r="AA121" s="9" t="inlineStr">
        <x:is>
          <x:t xml:space="preserve">Vigas de fundación y radier</x:t>
        </x:is>
      </x:c>
      <x:c r="AB121" s="15" t="n">
        <x:v>6</x:v>
      </x:c>
      <x:c r="AC121" s="15" t="n">
        <x:v>9</x:v>
      </x:c>
      <x:c r="AD121" s="9" t="inlineStr">
        <x:is>
          <x:t xml:space="preserve">Oficina + vivienda</x:t>
        </x:is>
      </x:c>
      <x:c r="AE121" s="9" t="inlineStr">
        <x:is>
          <x:t xml:space="preserve">Centro-sur templado lluvioso</x:t>
        </x:is>
      </x:c>
      <x:c r="AF121" s="10" t="inlineStr">
        <x:is>
          <x:t xml:space="preserve">Criterio térmico referencial OGUC / reglamentación térmica vigente</x:t>
        </x:is>
      </x:c>
      <x:c r="AG121" s="10" t="inlineStr">
        <x:is>
          <x:t xml:space="preserve">https://www.steelframe.cl/ | https://vhaceros.cl/blog/steel-framing-principios-estructurales-y-ventajas-en-la-construccion-chilena/</x:t>
        </x:is>
      </x:c>
      <x:c r="AH121" s="10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120 mm; ventanas PVC termopanel; revestimiento exterior Plancha metálica; interior MDF pintado; fundación sugerida Pilotes.</x:t>
        </x:is>
      </x:c>
    </x:row>
    <x:row r="122" ht="32" customHeight="1">
      <x:c r="A122" s="9" t="inlineStr">
        <x:is>
          <x:t xml:space="preserve">MOD-0121</x:t>
        </x:is>
      </x:c>
      <x:c r="B122" s="9" t="inlineStr">
        <x:is>
          <x:t xml:space="preserve">EMP-025</x:t>
        </x:is>
      </x:c>
      <x:c r="C122" s="9" t="inlineStr">
        <x:is>
          <x:t xml:space="preserve">Vergara 60</x:t>
        </x:is>
      </x:c>
      <x:c r="D122" s="9" t="inlineStr">
        <x:is>
          <x:t xml:space="preserve">Vergara</x:t>
        </x:is>
      </x:c>
      <x:c r="E122" s="9" t="inlineStr">
        <x:is>
          <x:t xml:space="preserve">Volcán</x:t>
        </x:is>
      </x:c>
      <x:c r="F122" s="9" t="inlineStr">
        <x:is>
          <x:t xml:space="preserve">Sí</x:t>
        </x:is>
      </x:c>
      <x:c r="G122" s="9" t="inlineStr">
        <x:is>
          <x:t xml:space="preserve">STEEL_FRAME</x:t>
        </x:is>
      </x:c>
      <x:c r="H122" s="15" t="n">
        <x:v>60</x:v>
      </x:c>
      <x:c r="I122" s="9" t="n">
        <x:v>2</x:v>
      </x:c>
      <x:c r="J122" s="9" t="n">
        <x:v>1</x:v>
      </x:c>
      <x:c r="K122" s="9" t="n">
        <x:v>1</x:v>
      </x:c>
      <x:c r="L122" s="9" t="n">
        <x:v>2</x:v>
      </x:c>
      <x:c r="M122" s="12" t="n">
        <x:v>2.35</x:v>
      </x:c>
      <x:c r="N122" s="9" t="inlineStr">
        <x:is>
          <x:t xml:space="preserve">Panelizado steel frame industrializado</x:t>
        </x:is>
      </x:c>
      <x:c r="O122" s="10" t="inlineStr">
        <x:is>
          <x:t xml:space="preserve">Acero galvanizado + placa OSB/fibrocemento + cámara técnica</x:t>
        </x:is>
      </x:c>
      <x:c r="P122" s="15" t="n">
        <x:v>110</x:v>
      </x:c>
      <x:c r="Q122" s="9" t="inlineStr">
        <x:is>
          <x:t xml:space="preserve">Lana mineral o lana de roca / PET / EPS según zona térmica</x:t>
        </x:is>
      </x:c>
      <x:c r="R122" s="15" t="n">
        <x:v>90</x:v>
      </x:c>
      <x:c r="S122" s="10" t="inlineStr">
        <x:is>
          <x:t xml:space="preserve">Cerchas o paneles steel frame + cubierta metálica</x:t>
        </x:is>
      </x:c>
      <x:c r="T122" s="15" t="n">
        <x:v>120</x:v>
      </x:c>
      <x:c r="U122" s="10" t="inlineStr">
        <x:is>
          <x:t xml:space="preserve">Lana mineral / lana de roca + barrera de vapor</x:t>
        </x:is>
      </x:c>
      <x:c r="V122" s="9" t="inlineStr">
        <x:is>
          <x:t xml:space="preserve">Envigado metálico o plataforma estructural</x:t>
        </x:is>
      </x:c>
      <x:c r="W122" s="10" t="inlineStr">
        <x:is>
          <x:t xml:space="preserve">Lana mineral 50-100 mm + placas estructurales</x:t>
        </x:is>
      </x:c>
      <x:c r="X122" s="9" t="inlineStr">
        <x:is>
          <x:t xml:space="preserve">Aluminio RPT termopanel</x:t>
        </x:is>
      </x:c>
      <x:c r="Y122" s="9" t="inlineStr">
        <x:is>
          <x:t xml:space="preserve">Estuco sobre placa cementicia</x:t>
        </x:is>
      </x:c>
      <x:c r="Z122" s="9" t="inlineStr">
        <x:is>
          <x:t xml:space="preserve">Yeso cartón</x:t>
        </x:is>
      </x:c>
      <x:c r="AA122" s="9" t="inlineStr">
        <x:is>
          <x:t xml:space="preserve">Radier reforzado</x:t>
        </x:is>
      </x:c>
      <x:c r="AB122" s="15" t="n">
        <x:v>6</x:v>
      </x:c>
      <x:c r="AC122" s="15" t="n">
        <x:v>7</x:v>
      </x:c>
      <x:c r="AD122" s="9" t="inlineStr">
        <x:is>
          <x:t xml:space="preserve">Segunda vivienda</x:t>
        </x:is>
      </x:c>
      <x:c r="AE122" s="9" t="inlineStr">
        <x:is>
          <x:t xml:space="preserve">Centro-sur templado lluvioso</x:t>
        </x:is>
      </x:c>
      <x:c r="AF122" s="10" t="inlineStr">
        <x:is>
          <x:t xml:space="preserve">Criterio térmico referencial OGUC / reglamentación térmica vigente</x:t>
        </x:is>
      </x:c>
      <x:c r="AG122" s="10" t="inlineStr">
        <x:is>
          <x:t xml:space="preserve">https://www.steelframe.cl/ | https://vhaceros.cl/blog/steel-framing-principios-estructurales-y-ventajas-en-la-construccion-chilena/</x:t>
        </x:is>
      </x:c>
      <x:c r="AH122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(90 mm); cubierta Cerchas o paneles steel frame + cubierta metálica de 120 mm; ventanas PVC termopanel; revestimiento exterior Estuco sobre placa cementicia; interior Yeso cartón RF; fundación sugerida Pilotes.</x:t>
        </x:is>
      </x:c>
    </x:row>
    <x:row r="123" ht="32" customHeight="1">
      <x:c r="A123" s="9" t="inlineStr">
        <x:is>
          <x:t xml:space="preserve">MOD-0122</x:t>
        </x:is>
      </x:c>
      <x:c r="B123" s="9" t="inlineStr">
        <x:is>
          <x:t xml:space="preserve">EMP-025</x:t>
        </x:is>
      </x:c>
      <x:c r="C123" s="9" t="inlineStr">
        <x:is>
          <x:t xml:space="preserve">Toltén 72</x:t>
        </x:is>
      </x:c>
      <x:c r="D123" s="9" t="inlineStr">
        <x:is>
          <x:t xml:space="preserve">Toltén</x:t>
        </x:is>
      </x:c>
      <x:c r="E123" s="9" t="inlineStr">
        <x:is>
          <x:t xml:space="preserve">Archipiélago</x:t>
        </x:is>
      </x:c>
      <x:c r="F123" s="9" t="inlineStr">
        <x:is>
          <x:t xml:space="preserve">Sí</x:t>
        </x:is>
      </x:c>
      <x:c r="G123" s="9" t="inlineStr">
        <x:is>
          <x:t xml:space="preserve">STEEL_FRAME</x:t>
        </x:is>
      </x:c>
      <x:c r="H123" s="15" t="n">
        <x:v>72</x:v>
      </x:c>
      <x:c r="I123" s="9" t="n">
        <x:v>2</x:v>
      </x:c>
      <x:c r="J123" s="9" t="n">
        <x:v>2</x:v>
      </x:c>
      <x:c r="K123" s="9" t="n">
        <x:v>1</x:v>
      </x:c>
      <x:c r="L123" s="9" t="n">
        <x:v>2</x:v>
      </x:c>
      <x:c r="M123" s="12" t="n">
        <x:v>2.4</x:v>
      </x:c>
      <x:c r="N123" s="9" t="inlineStr">
        <x:is>
          <x:t xml:space="preserve">Perfilería de acero galvanizado liviano</x:t>
        </x:is>
      </x:c>
      <x:c r="O123" s="10" t="inlineStr">
        <x:is>
          <x:t xml:space="preserve">Acero galvanizado + placa OSB/fibrocemento + cámara técnica</x:t>
        </x:is>
      </x:c>
      <x:c r="P123" s="15" t="n">
        <x:v>160</x:v>
      </x:c>
      <x:c r="Q123" s="9" t="inlineStr">
        <x:is>
          <x:t xml:space="preserve">Lana mineral o lana de roca / PET / EPS según zona térmica</x:t>
        </x:is>
      </x:c>
      <x:c r="R123" s="15" t="n">
        <x:v>60</x:v>
      </x:c>
      <x:c r="S123" s="10" t="inlineStr">
        <x:is>
          <x:t xml:space="preserve">Cerchas o paneles steel frame + cubierta metálica</x:t>
        </x:is>
      </x:c>
      <x:c r="T123" s="15" t="n">
        <x:v>150</x:v>
      </x:c>
      <x:c r="U123" s="10" t="inlineStr">
        <x:is>
          <x:t xml:space="preserve">Lana mineral / lana de roca + barrera de vapor</x:t>
        </x:is>
      </x:c>
      <x:c r="V123" s="9" t="inlineStr">
        <x:is>
          <x:t xml:space="preserve">Envigado metálico o plataforma estructural</x:t>
        </x:is>
      </x:c>
      <x:c r="W123" s="10" t="inlineStr">
        <x:is>
          <x:t xml:space="preserve">Lana mineral 50-100 mm + placas estructurales</x:t>
        </x:is>
      </x:c>
      <x:c r="X123" s="9" t="inlineStr">
        <x:is>
          <x:t xml:space="preserve">PVC termopanel</x:t>
        </x:is>
      </x:c>
      <x:c r="Y123" s="9" t="inlineStr">
        <x:is>
          <x:t xml:space="preserve">Estuco sobre placa cementicia</x:t>
        </x:is>
      </x:c>
      <x:c r="Z123" s="9" t="inlineStr">
        <x:is>
          <x:t xml:space="preserve">Yeso cartón</x:t>
        </x:is>
      </x:c>
      <x:c r="AA123" s="9" t="inlineStr">
        <x:is>
          <x:t xml:space="preserve">Vigas de fundación y radier</x:t>
        </x:is>
      </x:c>
      <x:c r="AB123" s="15" t="n">
        <x:v>8</x:v>
      </x:c>
      <x:c r="AC123" s="15" t="n">
        <x:v>15</x:v>
      </x:c>
      <x:c r="AD123" s="9" t="inlineStr">
        <x:is>
          <x:t xml:space="preserve">Primera vivienda</x:t>
        </x:is>
      </x:c>
      <x:c r="AE123" s="9" t="inlineStr">
        <x:is>
          <x:t xml:space="preserve">Centro-sur templado lluvioso</x:t>
        </x:is>
      </x:c>
      <x:c r="AF123" s="10" t="inlineStr">
        <x:is>
          <x:t xml:space="preserve">Criterio térmico referencial OGUC / reglamentación térmica vigente</x:t>
        </x:is>
      </x:c>
      <x:c r="AG123" s="10" t="inlineStr">
        <x:is>
          <x:t xml:space="preserve">https://www.steelframe.cl/ | https://vhaceros.cl/blog/steel-framing-principios-estructurales-y-ventajas-en-la-construccion-chilena/</x:t>
        </x:is>
      </x:c>
      <x:c r="AH123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(60 mm); cubierta Cerchas o paneles steel frame + cubierta metálica de 150 mm; ventanas Aluminio RPT termopanel; revestimiento exterior Estuco sobre placa cementicia; interior MDF pintado; fundación sugerida Vigas de fundación y radier.</x:t>
        </x:is>
      </x:c>
    </x:row>
    <x:row r="124" ht="32" customHeight="1">
      <x:c r="A124" s="9" t="inlineStr">
        <x:is>
          <x:t xml:space="preserve">MOD-0123</x:t>
        </x:is>
      </x:c>
      <x:c r="B124" s="9" t="inlineStr">
        <x:is>
          <x:t xml:space="preserve">EMP-025</x:t>
        </x:is>
      </x:c>
      <x:c r="C124" s="9" t="inlineStr">
        <x:is>
          <x:t xml:space="preserve">Imperial 80</x:t>
        </x:is>
      </x:c>
      <x:c r="D124" s="9" t="inlineStr">
        <x:is>
          <x:t xml:space="preserve">Imperial</x:t>
        </x:is>
      </x:c>
      <x:c r="E124" s="9" t="inlineStr">
        <x:is>
          <x:t xml:space="preserve">Valle</x:t>
        </x:is>
      </x:c>
      <x:c r="F124" s="9" t="inlineStr">
        <x:is>
          <x:t xml:space="preserve">Sí</x:t>
        </x:is>
      </x:c>
      <x:c r="G124" s="9" t="inlineStr">
        <x:is>
          <x:t xml:space="preserve">SIP</x:t>
        </x:is>
      </x:c>
      <x:c r="H124" s="15" t="n">
        <x:v>80</x:v>
      </x:c>
      <x:c r="I124" s="9" t="n">
        <x:v>3</x:v>
      </x:c>
      <x:c r="J124" s="9" t="n">
        <x:v>2</x:v>
      </x:c>
      <x:c r="K124" s="9" t="n">
        <x:v>1</x:v>
      </x:c>
      <x:c r="L124" s="9" t="n">
        <x:v>2</x:v>
      </x:c>
      <x:c r="M124" s="12" t="n">
        <x:v>2.35</x:v>
      </x:c>
      <x:c r="N124" s="9" t="inlineStr">
        <x:is>
          <x:t xml:space="preserve">Panel SIP estructural con uniones en pino seco</x:t>
        </x:is>
      </x:c>
      <x:c r="O124" s="10" t="inlineStr">
        <x:is>
          <x:t xml:space="preserve">2 placas OSB estructural + núcleo EPS alta densidad</x:t>
        </x:is>
      </x:c>
      <x:c r="P124" s="15" t="n">
        <x:v>130</x:v>
      </x:c>
      <x:c r="Q124" s="9" t="inlineStr">
        <x:is>
          <x:t xml:space="preserve">EPS alta densidad 15 kg/m³</x:t>
        </x:is>
      </x:c>
      <x:c r="R124" s="15" t="n">
        <x:v>92</x:v>
      </x:c>
      <x:c r="S124" s="10" t="inlineStr">
        <x:is>
          <x:t xml:space="preserve">Panel SIP de cubierta + membrana hidrófuga + hojalatería</x:t>
        </x:is>
      </x:c>
      <x:c r="T124" s="15" t="n">
        <x:v>164</x:v>
      </x:c>
      <x:c r="U124" s="10" t="inlineStr">
        <x:is>
          <x:t xml:space="preserve">EPS integrado + sellos PU</x:t>
        </x:is>
      </x:c>
      <x:c r="V124" s="9" t="inlineStr">
        <x:is>
          <x:t xml:space="preserve">Base entramado madera o radier con barrera de humedad</x:t>
        </x:is>
      </x:c>
      <x:c r="W124" s="10" t="inlineStr">
        <x:is>
          <x:t xml:space="preserve">Aislación bajo piso PET o lana mineral 50-100 mm</x:t>
        </x:is>
      </x:c>
      <x:c r="X124" s="9" t="inlineStr">
        <x:is>
          <x:t xml:space="preserve">Aluminio con termopanel</x:t>
        </x:is>
      </x:c>
      <x:c r="Y124" s="9" t="inlineStr">
        <x:is>
          <x:t xml:space="preserve">Madera tratada</x:t>
        </x:is>
      </x:c>
      <x:c r="Z124" s="9" t="inlineStr">
        <x:is>
          <x:t xml:space="preserve">Yeso cartón pintado</x:t>
        </x:is>
      </x:c>
      <x:c r="AA124" s="9" t="inlineStr">
        <x:is>
          <x:t xml:space="preserve">Fundación corrida</x:t>
        </x:is>
      </x:c>
      <x:c r="AB124" s="15" t="n">
        <x:v>7</x:v>
      </x:c>
      <x:c r="AC124" s="15" t="n">
        <x:v>8</x:v>
      </x:c>
      <x:c r="AD124" s="9" t="inlineStr">
        <x:is>
          <x:t xml:space="preserve">Turismo / arriendo</x:t>
        </x:is>
      </x:c>
      <x:c r="AE124" s="9" t="inlineStr">
        <x:is>
          <x:t xml:space="preserve">Centro-sur templado lluvioso</x:t>
        </x:is>
      </x:c>
      <x:c r="AF124" s="10" t="inlineStr">
        <x:is>
          <x:t xml:space="preserve">NCh3393:2016 (referencial para paneles SIP)</x:t>
        </x:is>
      </x:c>
      <x:c r="AG12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4" s="10" t="inlineStr">
        <x:is>
          <x:t xml:space="preserve">Estructura: Panel SIP estructural OSB/EPS/OSB; muros 2 placas OSB estructural + núcleo EPS alta densidad de 130 mm con aislación EPS alta densidad 15 kg/m³ (92 mm); cubierta Panel SIP de cubierta + membrana hidrófuga + hojalatería de 164 mm; ventanas Aluminio con termopanel; revestimiento exterior Smart Panel; interior MDF en zonas secas; fundación sugerida Radier afinado.</x:t>
        </x:is>
      </x:c>
    </x:row>
    <x:row r="125" ht="32" customHeight="1">
      <x:c r="A125" s="9" t="inlineStr">
        <x:is>
          <x:t xml:space="preserve">MOD-0124</x:t>
        </x:is>
      </x:c>
      <x:c r="B125" s="9" t="inlineStr">
        <x:is>
          <x:t xml:space="preserve">EMP-025</x:t>
        </x:is>
      </x:c>
      <x:c r="C125" s="9" t="inlineStr">
        <x:is>
          <x:t xml:space="preserve">Valdivia 168</x:t>
        </x:is>
      </x:c>
      <x:c r="D125" s="9" t="inlineStr">
        <x:is>
          <x:t xml:space="preserve">Valdivia</x:t>
        </x:is>
      </x:c>
      <x:c r="E125" s="9" t="inlineStr">
        <x:is>
          <x:t xml:space="preserve">Valle</x:t>
        </x:is>
      </x:c>
      <x:c r="F125" s="9" t="inlineStr">
        <x:is>
          <x:t xml:space="preserve">Sí</x:t>
        </x:is>
      </x:c>
      <x:c r="G125" s="9" t="inlineStr">
        <x:is>
          <x:t xml:space="preserve">MODULAR_TIMBER</x:t>
        </x:is>
      </x:c>
      <x:c r="H125" s="15" t="n">
        <x:v>168</x:v>
      </x:c>
      <x:c r="I125" s="9" t="n">
        <x:v>4</x:v>
      </x:c>
      <x:c r="J125" s="9" t="n">
        <x:v>3</x:v>
      </x:c>
      <x:c r="K125" s="9" t="n">
        <x:v>1</x:v>
      </x:c>
      <x:c r="L125" s="9" t="n">
        <x:v>4</x:v>
      </x:c>
      <x:c r="M125" s="12" t="n">
        <x:v>2.35</x:v>
      </x:c>
      <x:c r="N125" s="9" t="inlineStr">
        <x:is>
          <x:t xml:space="preserve">Madera laminada y entramado ligero</x:t>
        </x:is>
      </x:c>
      <x:c r="O125" s="10" t="inlineStr">
        <x:is>
          <x:t xml:space="preserve">Madera estructural + OSB / terciado + barrera hidrófuga</x:t>
        </x:is>
      </x:c>
      <x:c r="P125" s="15" t="n">
        <x:v>140</x:v>
      </x:c>
      <x:c r="Q125" s="9" t="inlineStr">
        <x:is>
          <x:t xml:space="preserve">Lana mineral / lana de vidrio / PET reciclado</x:t>
        </x:is>
      </x:c>
      <x:c r="R125" s="15" t="n">
        <x:v>100</x:v>
      </x:c>
      <x:c r="S125" s="10" t="inlineStr">
        <x:is>
          <x:t xml:space="preserve">Cercha de madera + cubierta metálica o tejuela asfáltica</x:t>
        </x:is>
      </x:c>
      <x:c r="T125" s="15" t="n">
        <x:v>180</x:v>
      </x:c>
      <x:c r="U125" s="10" t="inlineStr">
        <x:is>
          <x:t xml:space="preserve">Lana mineral 80-140 mm + membrana</x:t>
        </x:is>
      </x:c>
      <x:c r="V125" s="9" t="inlineStr">
        <x:is>
          <x:t xml:space="preserve">Plataforma de madera estructural o radier</x:t>
        </x:is>
      </x:c>
      <x:c r="W125" s="10" t="inlineStr">
        <x:is>
          <x:t xml:space="preserve">Lana mineral 50-100 mm / barrera humedad</x:t>
        </x:is>
      </x:c>
      <x:c r="X125" s="9" t="inlineStr">
        <x:is>
          <x:t xml:space="preserve">PVC termopanel</x:t>
        </x:is>
      </x:c>
      <x:c r="Y125" s="9" t="inlineStr">
        <x:is>
          <x:t xml:space="preserve">Smart Panel</x:t>
        </x:is>
      </x:c>
      <x:c r="Z125" s="9" t="inlineStr">
        <x:is>
          <x:t xml:space="preserve">Terciado pintado</x:t>
        </x:is>
      </x:c>
      <x:c r="AA125" s="9" t="inlineStr">
        <x:is>
          <x:t xml:space="preserve">Radier</x:t>
        </x:is>
      </x:c>
      <x:c r="AB125" s="15" t="n">
        <x:v>6</x:v>
      </x:c>
      <x:c r="AC125" s="15" t="n">
        <x:v>7</x:v>
      </x:c>
      <x:c r="AD125" s="9" t="inlineStr">
        <x:is>
          <x:t xml:space="preserve">Primera vivienda</x:t>
        </x:is>
      </x:c>
      <x:c r="AE125" s="9" t="inlineStr">
        <x:is>
          <x:t xml:space="preserve">Centro-sur templado lluvioso</x:t>
        </x:is>
      </x:c>
      <x:c r="AF125" s="10" t="inlineStr">
        <x:is>
          <x:t xml:space="preserve">Especificaciones técnicas de vivienda industrializada en madera (referencial)</x:t>
        </x:is>
      </x:c>
      <x:c r="AG125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25" s="10" t="inlineStr">
        <x:is>
          <x:t xml:space="preserve">Estructura: Wood frame modular; muros Madera estructural + OSB / terciado + barrera hidrófuga de 140 mm con aislación Lana mineral / lana de vidrio / PET reciclado (100 mm); cubierta Cercha de madera + cubierta metálica o tejuela asfáltica de 180 mm; ventanas PVC termopanel; revestimiento exterior Siding fibrocemento; interior Yeso cartón; fundación sugerida Fundación corrida.</x:t>
        </x:is>
      </x:c>
    </x:row>
    <x:row r="126" ht="32" customHeight="1">
      <x:c r="A126" s="9" t="inlineStr">
        <x:is>
          <x:t xml:space="preserve">MOD-0125</x:t>
        </x:is>
      </x:c>
      <x:c r="B126" s="9" t="inlineStr">
        <x:is>
          <x:t xml:space="preserve">EMP-025</x:t>
        </x:is>
      </x:c>
      <x:c r="C126" s="9" t="inlineStr">
        <x:is>
          <x:t xml:space="preserve">Bueno 176</x:t>
        </x:is>
      </x:c>
      <x:c r="D126" s="9" t="inlineStr">
        <x:is>
          <x:t xml:space="preserve">Bueno</x:t>
        </x:is>
      </x:c>
      <x:c r="E126" s="9" t="inlineStr">
        <x:is>
          <x:t xml:space="preserve">Archipiélago</x:t>
        </x:is>
      </x:c>
      <x:c r="F126" s="9" t="inlineStr">
        <x:is>
          <x:t xml:space="preserve">Sí</x:t>
        </x:is>
      </x:c>
      <x:c r="G126" s="9" t="inlineStr">
        <x:is>
          <x:t xml:space="preserve">HYBRID_MODULAR</x:t>
        </x:is>
      </x:c>
      <x:c r="H126" s="15" t="n">
        <x:v>176</x:v>
      </x:c>
      <x:c r="I126" s="9" t="n">
        <x:v>4</x:v>
      </x:c>
      <x:c r="J126" s="9" t="n">
        <x:v>3</x:v>
      </x:c>
      <x:c r="K126" s="9" t="n">
        <x:v>1</x:v>
      </x:c>
      <x:c r="L126" s="9" t="n">
        <x:v>4</x:v>
      </x:c>
      <x:c r="M126" s="12" t="n">
        <x:v>2.5</x:v>
      </x:c>
      <x:c r="N126" s="9" t="inlineStr">
        <x:is>
          <x:t xml:space="preserve">Módulos de acero + paneles SIP</x:t>
        </x:is>
      </x:c>
      <x:c r="O126" s="10" t="inlineStr">
        <x:is>
          <x:t xml:space="preserve">Acero galvanizado o madera laminada + panel SIP MgO/OSB</x:t>
        </x:is>
      </x:c>
      <x:c r="P126" s="15" t="n">
        <x:v>120</x:v>
      </x:c>
      <x:c r="Q126" s="9" t="inlineStr">
        <x:is>
          <x:t xml:space="preserve">Lana mineral 75-100 mm o EPS integrado</x:t>
        </x:is>
      </x:c>
      <x:c r="R126" s="15" t="n">
        <x:v>75</x:v>
      </x:c>
      <x:c r="S126" s="10" t="inlineStr">
        <x:is>
          <x:t xml:space="preserve">Módulo volumétrico con cubierta panelizada</x:t>
        </x:is>
      </x:c>
      <x:c r="T126" s="15" t="n">
        <x:v>160</x:v>
      </x:c>
      <x:c r="U126" s="10" t="inlineStr">
        <x:is>
          <x:t xml:space="preserve">Lana mineral / EPS / barrera vapor</x:t>
        </x:is>
      </x:c>
      <x:c r="V126" s="9" t="inlineStr">
        <x:is>
          <x:t xml:space="preserve">Bastidor metálico o madera laminada</x:t>
        </x:is>
      </x:c>
      <x:c r="W126" s="10" t="inlineStr">
        <x:is>
          <x:t xml:space="preserve">Lana mineral 80-100 mm + fibrocemento</x:t>
        </x:is>
      </x:c>
      <x:c r="X126" s="9" t="inlineStr">
        <x:is>
          <x:t xml:space="preserve">Aluminio termopanel</x:t>
        </x:is>
      </x:c>
      <x:c r="Y126" s="9" t="inlineStr">
        <x:is>
          <x:t xml:space="preserve">Fibrocemento tipo siding</x:t>
        </x:is>
      </x:c>
      <x:c r="Z126" s="9" t="inlineStr">
        <x:is>
          <x:t xml:space="preserve">Melamina blanca</x:t>
        </x:is>
      </x:c>
      <x:c r="AA126" s="9" t="inlineStr">
        <x:is>
          <x:t xml:space="preserve">Dados de hormigón</x:t>
        </x:is>
      </x:c>
      <x:c r="AB126" s="15" t="n">
        <x:v>7</x:v>
      </x:c>
      <x:c r="AC126" s="15" t="n">
        <x:v>7</x:v>
      </x:c>
      <x:c r="AD126" s="9" t="inlineStr">
        <x:is>
          <x:t xml:space="preserve">Parcela</x:t>
        </x:is>
      </x:c>
      <x:c r="AE126" s="9" t="inlineStr">
        <x:is>
          <x:t xml:space="preserve">Centro-sur templado lluvioso</x:t>
        </x:is>
      </x:c>
      <x:c r="AF126" s="10" t="inlineStr">
        <x:is>
          <x:t xml:space="preserve">Criterios de prefabricación modular y coordinación BIM (referencial)</x:t>
        </x:is>
      </x:c>
      <x:c r="AG126" s="10" t="inlineStr">
        <x:is>
          <x:t xml:space="preserve">https://modul.cl/construccion-de-casas-prefabricadas-modulares/ | https://tecnofasthome.cl/casas-modulares/</x:t>
        </x:is>
      </x:c>
      <x:c r="AH126" s="10" t="inlineStr">
        <x:is>
          <x:t xml:space="preserve">Estructura: Módulos de acero + paneles SIP; muros Acero galvanizado o madera laminada + panel SIP MgO/OSB de 120 mm con aislación Lana mineral 75-100 mm o EPS integrado (75 mm); cubierta Módulo volumétrico con cubierta panelizada de 160 mm; ventanas PVC termopanel; revestimiento exterior Fibrocemento tipo siding; interior Yeso cartón RH; fundación sugerida Dados de hormigón.</x:t>
        </x:is>
      </x:c>
    </x:row>
    <x:row r="127" ht="32" customHeight="1">
      <x:c r="A127" s="9" t="inlineStr">
        <x:is>
          <x:t xml:space="preserve">MOD-0126</x:t>
        </x:is>
      </x:c>
      <x:c r="B127" s="9" t="inlineStr">
        <x:is>
          <x:t xml:space="preserve">EMP-026</x:t>
        </x:is>
      </x:c>
      <x:c r="C127" s="9" t="inlineStr">
        <x:is>
          <x:t xml:space="preserve">Petrohué 48</x:t>
        </x:is>
      </x:c>
      <x:c r="D127" s="9" t="inlineStr">
        <x:is>
          <x:t xml:space="preserve">Petrohué</x:t>
        </x:is>
      </x:c>
      <x:c r="E127" s="9" t="inlineStr">
        <x:is>
          <x:t xml:space="preserve">Comuna</x:t>
        </x:is>
      </x:c>
      <x:c r="F127" s="9" t="inlineStr">
        <x:is>
          <x:t xml:space="preserve">Sí</x:t>
        </x:is>
      </x:c>
      <x:c r="G127" s="9" t="inlineStr">
        <x:is>
          <x:t xml:space="preserve">SIP</x:t>
        </x:is>
      </x:c>
      <x:c r="H127" s="15" t="n">
        <x:v>48</x:v>
      </x:c>
      <x:c r="I127" s="9" t="n">
        <x:v>2</x:v>
      </x:c>
      <x:c r="J127" s="9" t="n">
        <x:v>1</x:v>
      </x:c>
      <x:c r="K127" s="9" t="n">
        <x:v>1</x:v>
      </x:c>
      <x:c r="L127" s="9" t="n">
        <x:v>2</x:v>
      </x:c>
      <x:c r="M127" s="12" t="n">
        <x:v>2.45</x:v>
      </x:c>
      <x:c r="N127" s="9" t="inlineStr">
        <x:is>
          <x:t xml:space="preserve">Panel SIP estructural con uniones en pino seco</x:t>
        </x:is>
      </x:c>
      <x:c r="O127" s="10" t="inlineStr">
        <x:is>
          <x:t xml:space="preserve">2 placas OSB estructural + núcleo EPS alta densidad</x:t>
        </x:is>
      </x:c>
      <x:c r="P127" s="15" t="n">
        <x:v>75</x:v>
      </x:c>
      <x:c r="Q127" s="9" t="inlineStr">
        <x:is>
          <x:t xml:space="preserve">EPS alta densidad 15 kg/m³</x:t>
        </x:is>
      </x:c>
      <x:c r="R127" s="15" t="n">
        <x:v>92</x:v>
      </x:c>
      <x:c r="S127" s="10" t="inlineStr">
        <x:is>
          <x:t xml:space="preserve">Panel SIP de cubierta + membrana hidrófuga + hojalatería</x:t>
        </x:is>
      </x:c>
      <x:c r="T127" s="15" t="n">
        <x:v>114</x:v>
      </x:c>
      <x:c r="U127" s="10" t="inlineStr">
        <x:is>
          <x:t xml:space="preserve">EPS integrado + sellos PU</x:t>
        </x:is>
      </x:c>
      <x:c r="V127" s="9" t="inlineStr">
        <x:is>
          <x:t xml:space="preserve">Base entramado madera o radier con barrera de humedad</x:t>
        </x:is>
      </x:c>
      <x:c r="W127" s="10" t="inlineStr">
        <x:is>
          <x:t xml:space="preserve">Aislación bajo piso PET o lana mineral 50-100 mm</x:t>
        </x:is>
      </x:c>
      <x:c r="X127" s="9" t="inlineStr">
        <x:is>
          <x:t xml:space="preserve">Aluminio con termopanel</x:t>
        </x:is>
      </x:c>
      <x:c r="Y127" s="9" t="inlineStr">
        <x:is>
          <x:t xml:space="preserve">Siding fibrocemento</x:t>
        </x:is>
      </x:c>
      <x:c r="Z127" s="9" t="inlineStr">
        <x:is>
          <x:t xml:space="preserve">Yeso cartón RH en zonas húmedas</x:t>
        </x:is>
      </x:c>
      <x:c r="AA127" s="9" t="inlineStr">
        <x:is>
          <x:t xml:space="preserve">Radier afinado</x:t>
        </x:is>
      </x:c>
      <x:c r="AB127" s="15" t="n">
        <x:v>7</x:v>
      </x:c>
      <x:c r="AC127" s="15" t="n">
        <x:v>4</x:v>
      </x:c>
      <x:c r="AD127" s="9" t="inlineStr">
        <x:is>
          <x:t xml:space="preserve">Parcela</x:t>
        </x:is>
      </x:c>
      <x:c r="AE127" s="9" t="inlineStr">
        <x:is>
          <x:t xml:space="preserve">Centro-sur templado lluvioso</x:t>
        </x:is>
      </x:c>
      <x:c r="AF127" s="10" t="inlineStr">
        <x:is>
          <x:t xml:space="preserve">NCh3393:2016 (referencial para paneles SIP)</x:t>
        </x:is>
      </x:c>
      <x:c r="AG12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7" s="10" t="inlineStr">
        <x:is>
          <x:t xml:space="preserve">Estructura: Panel SIP estructural OSB/EPS/OSB; muros 2 placas OSB estructural + núcleo EPS alta densidad de 75 mm con aislación EPS alta densidad 15 kg/m³ (92 mm); cubierta Panel SIP de cubierta + membrana hidrófuga + hojalatería de 114 mm; ventanas PVC termopanel; revestimiento exterior Siding fibrocemento; interior Yeso cartón RH en zonas húmedas; fundación sugerida Radier afinado.</x:t>
        </x:is>
      </x:c>
    </x:row>
    <x:row r="128" ht="32" customHeight="1">
      <x:c r="A128" s="9" t="inlineStr">
        <x:is>
          <x:t xml:space="preserve">MOD-0127</x:t>
        </x:is>
      </x:c>
      <x:c r="B128" s="9" t="inlineStr">
        <x:is>
          <x:t xml:space="preserve">EMP-026</x:t>
        </x:is>
      </x:c>
      <x:c r="C128" s="9" t="inlineStr">
        <x:is>
          <x:t xml:space="preserve">Yelcho 80</x:t>
        </x:is>
      </x:c>
      <x:c r="D128" s="9" t="inlineStr">
        <x:is>
          <x:t xml:space="preserve">Yelcho</x:t>
        </x:is>
      </x:c>
      <x:c r="E128" s="9" t="inlineStr">
        <x:is>
          <x:t xml:space="preserve">Lago</x:t>
        </x:is>
      </x:c>
      <x:c r="F128" s="9" t="inlineStr">
        <x:is>
          <x:t xml:space="preserve">Sí</x:t>
        </x:is>
      </x:c>
      <x:c r="G128" s="9" t="inlineStr">
        <x:is>
          <x:t xml:space="preserve">SIP</x:t>
        </x:is>
      </x:c>
      <x:c r="H128" s="15" t="n">
        <x:v>80</x:v>
      </x:c>
      <x:c r="I128" s="9" t="n">
        <x:v>3</x:v>
      </x:c>
      <x:c r="J128" s="9" t="n">
        <x:v>2</x:v>
      </x:c>
      <x:c r="K128" s="9" t="n">
        <x:v>1</x:v>
      </x:c>
      <x:c r="L128" s="9" t="n">
        <x:v>2</x:v>
      </x:c>
      <x:c r="M128" s="12" t="n">
        <x:v>2.35</x:v>
      </x:c>
      <x:c r="N128" s="9" t="inlineStr">
        <x:is>
          <x:t xml:space="preserve">Panel SIP estructural con uniones en pino seco</x:t>
        </x:is>
      </x:c>
      <x:c r="O128" s="10" t="inlineStr">
        <x:is>
          <x:t xml:space="preserve">2 placas OSB estructural + núcleo EPS alta densidad</x:t>
        </x:is>
      </x:c>
      <x:c r="P128" s="15" t="n">
        <x:v>114</x:v>
      </x:c>
      <x:c r="Q128" s="9" t="inlineStr">
        <x:is>
          <x:t xml:space="preserve">EPS alta densidad 15 kg/m³</x:t>
        </x:is>
      </x:c>
      <x:c r="R128" s="15" t="n">
        <x:v>92</x:v>
      </x:c>
      <x:c r="S128" s="10" t="inlineStr">
        <x:is>
          <x:t xml:space="preserve">Panel SIP de cubierta + membrana hidrófuga + hojalatería</x:t>
        </x:is>
      </x:c>
      <x:c r="T128" s="15" t="n">
        <x:v>164</x:v>
      </x:c>
      <x:c r="U128" s="10" t="inlineStr">
        <x:is>
          <x:t xml:space="preserve">EPS integrado + sellos PU</x:t>
        </x:is>
      </x:c>
      <x:c r="V128" s="9" t="inlineStr">
        <x:is>
          <x:t xml:space="preserve">Base entramado madera o radier con barrera de humedad</x:t>
        </x:is>
      </x:c>
      <x:c r="W128" s="10" t="inlineStr">
        <x:is>
          <x:t xml:space="preserve">Aislación bajo piso PET o lana mineral 50-100 mm</x:t>
        </x:is>
      </x:c>
      <x:c r="X128" s="9" t="inlineStr">
        <x:is>
          <x:t xml:space="preserve">PVC termopanel</x:t>
        </x:is>
      </x:c>
      <x:c r="Y128" s="9" t="inlineStr">
        <x:is>
          <x:t xml:space="preserve">Smart Panel</x:t>
        </x:is>
      </x:c>
      <x:c r="Z128" s="9" t="inlineStr">
        <x:is>
          <x:t xml:space="preserve">MDF en zonas secas</x:t>
        </x:is>
      </x:c>
      <x:c r="AA128" s="9" t="inlineStr">
        <x:is>
          <x:t xml:space="preserve">Radier afinado</x:t>
        </x:is>
      </x:c>
      <x:c r="AB128" s="15" t="n">
        <x:v>7</x:v>
      </x:c>
      <x:c r="AC128" s="15" t="n">
        <x:v>7</x:v>
      </x:c>
      <x:c r="AD128" s="9" t="inlineStr">
        <x:is>
          <x:t xml:space="preserve">Parcela</x:t>
        </x:is>
      </x:c>
      <x:c r="AE128" s="9" t="inlineStr">
        <x:is>
          <x:t xml:space="preserve">Centro-sur templado lluvioso</x:t>
        </x:is>
      </x:c>
      <x:c r="AF128" s="10" t="inlineStr">
        <x:is>
          <x:t xml:space="preserve">NCh3393:2016 (referencial para paneles SIP)</x:t>
        </x:is>
      </x:c>
      <x:c r="AG128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8" s="10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164 mm; ventanas Aluminio con termopanel; revestimiento exterior Plancha metálica prepintada; interior OSB sellado y pintado; fundación sugerida Pilotes metálicos.</x:t>
        </x:is>
      </x:c>
    </x:row>
    <x:row r="129" ht="32" customHeight="1">
      <x:c r="A129" s="9" t="inlineStr">
        <x:is>
          <x:t xml:space="preserve">MOD-0128</x:t>
        </x:is>
      </x:c>
      <x:c r="B129" s="9" t="inlineStr">
        <x:is>
          <x:t xml:space="preserve">EMP-026</x:t>
        </x:is>
      </x:c>
      <x:c r="C129" s="9" t="inlineStr">
        <x:is>
          <x:t xml:space="preserve">Palena 72</x:t>
        </x:is>
      </x:c>
      <x:c r="D129" s="9" t="inlineStr">
        <x:is>
          <x:t xml:space="preserve">Palena</x:t>
        </x:is>
      </x:c>
      <x:c r="E129" s="9" t="inlineStr">
        <x:is>
          <x:t xml:space="preserve">Archipiélago</x:t>
        </x:is>
      </x:c>
      <x:c r="F129" s="9" t="inlineStr">
        <x:is>
          <x:t xml:space="preserve">Sí</x:t>
        </x:is>
      </x:c>
      <x:c r="G129" s="9" t="inlineStr">
        <x:is>
          <x:t xml:space="preserve">MODULAR_TIMBER</x:t>
        </x:is>
      </x:c>
      <x:c r="H129" s="15" t="n">
        <x:v>72</x:v>
      </x:c>
      <x:c r="I129" s="9" t="n">
        <x:v>2</x:v>
      </x:c>
      <x:c r="J129" s="9" t="n">
        <x:v>2</x:v>
      </x:c>
      <x:c r="K129" s="9" t="n">
        <x:v>1</x:v>
      </x:c>
      <x:c r="L129" s="9" t="n">
        <x:v>2</x:v>
      </x:c>
      <x:c r="M129" s="12" t="n">
        <x:v>2.45</x:v>
      </x:c>
      <x:c r="N129" s="9" t="inlineStr">
        <x:is>
          <x:t xml:space="preserve">Entramado ligero en pino impregnado</x:t>
        </x:is>
      </x:c>
      <x:c r="O129" s="10" t="inlineStr">
        <x:is>
          <x:t xml:space="preserve">Madera estructural + OSB / terciado + barrera hidrófuga</x:t>
        </x:is>
      </x:c>
      <x:c r="P129" s="15" t="n">
        <x:v>140</x:v>
      </x:c>
      <x:c r="Q129" s="9" t="inlineStr">
        <x:is>
          <x:t xml:space="preserve">Lana mineral / lana de vidrio / PET reciclado</x:t>
        </x:is>
      </x:c>
      <x:c r="R129" s="15" t="n">
        <x:v>90</x:v>
      </x:c>
      <x:c r="S129" s="10" t="inlineStr">
        <x:is>
          <x:t xml:space="preserve">Cercha de madera + cubierta metálica o tejuela asfáltica</x:t>
        </x:is>
      </x:c>
      <x:c r="T129" s="15" t="n">
        <x:v>120</x:v>
      </x:c>
      <x:c r="U129" s="10" t="inlineStr">
        <x:is>
          <x:t xml:space="preserve">Lana mineral 80-140 mm + membrana</x:t>
        </x:is>
      </x:c>
      <x:c r="V129" s="9" t="inlineStr">
        <x:is>
          <x:t xml:space="preserve">Plataforma de madera estructural o radier</x:t>
        </x:is>
      </x:c>
      <x:c r="W129" s="10" t="inlineStr">
        <x:is>
          <x:t xml:space="preserve">Lana mineral 50-100 mm / barrera humedad</x:t>
        </x:is>
      </x:c>
      <x:c r="X129" s="9" t="inlineStr">
        <x:is>
          <x:t xml:space="preserve">PVC termopanel</x:t>
        </x:is>
      </x:c>
      <x:c r="Y129" s="9" t="inlineStr">
        <x:is>
          <x:t xml:space="preserve">Smart Panel</x:t>
        </x:is>
      </x:c>
      <x:c r="Z129" s="9" t="inlineStr">
        <x:is>
          <x:t xml:space="preserve">Terciado pintado</x:t>
        </x:is>
      </x:c>
      <x:c r="AA129" s="9" t="inlineStr">
        <x:is>
          <x:t xml:space="preserve">Fundación corrida</x:t>
        </x:is>
      </x:c>
      <x:c r="AB129" s="15" t="n">
        <x:v>5</x:v>
      </x:c>
      <x:c r="AC129" s="15" t="n">
        <x:v>15</x:v>
      </x:c>
      <x:c r="AD129" s="9" t="inlineStr">
        <x:is>
          <x:t xml:space="preserve">Turismo / arriendo</x:t>
        </x:is>
      </x:c>
      <x:c r="AE129" s="9" t="inlineStr">
        <x:is>
          <x:t xml:space="preserve">Centro-sur templado lluvioso</x:t>
        </x:is>
      </x:c>
      <x:c r="AF129" s="10" t="inlineStr">
        <x:is>
          <x:t xml:space="preserve">Especificaciones técnicas de vivienda industrializada en madera (referencial)</x:t>
        </x:is>
      </x:c>
      <x:c r="AG129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29" s="10" t="inlineStr">
        <x:is>
          <x:t xml:space="preserve">Estructura: Entramado ligero en pino impregnado; muros Madera estructural + OSB / terciado + barrera hidrófuga de 140 mm con aislación Lana mineral / lana de vidrio / PET reciclado (90 mm); cubierta Cercha de madera + cubierta metálica o tejuela asfáltica de 120 mm; ventanas Aluminio termopanel; revestimiento exterior Siding fibrocemento; interior Yeso cartón; fundación sugerida Pilotes.</x:t>
        </x:is>
      </x:c>
    </x:row>
    <x:row r="130" ht="32" customHeight="1">
      <x:c r="A130" s="9" t="inlineStr">
        <x:is>
          <x:t xml:space="preserve">MOD-0129</x:t>
        </x:is>
      </x:c>
      <x:c r="B130" s="9" t="inlineStr">
        <x:is>
          <x:t xml:space="preserve">EMP-026</x:t>
        </x:is>
      </x:c>
      <x:c r="C130" s="9" t="inlineStr">
        <x:is>
          <x:t xml:space="preserve">Baker 144</x:t>
        </x:is>
      </x:c>
      <x:c r="D130" s="9" t="inlineStr">
        <x:is>
          <x:t xml:space="preserve">Baker</x:t>
        </x:is>
      </x:c>
      <x:c r="E130" s="9" t="inlineStr">
        <x:is>
          <x:t xml:space="preserve">Lago</x:t>
        </x:is>
      </x:c>
      <x:c r="F130" s="9" t="inlineStr">
        <x:is>
          <x:t xml:space="preserve">Sí</x:t>
        </x:is>
      </x:c>
      <x:c r="G130" s="9" t="inlineStr">
        <x:is>
          <x:t xml:space="preserve">STEEL_FRAME</x:t>
        </x:is>
      </x:c>
      <x:c r="H130" s="15" t="n">
        <x:v>144</x:v>
      </x:c>
      <x:c r="I130" s="9" t="n">
        <x:v>4</x:v>
      </x:c>
      <x:c r="J130" s="9" t="n">
        <x:v>3</x:v>
      </x:c>
      <x:c r="K130" s="9" t="n">
        <x:v>2</x:v>
      </x:c>
      <x:c r="L130" s="9" t="n">
        <x:v>4</x:v>
      </x:c>
      <x:c r="M130" s="12" t="n">
        <x:v>2.45</x:v>
      </x:c>
      <x:c r="N130" s="9" t="inlineStr">
        <x:is>
          <x:t xml:space="preserve">Panelizado steel frame industrializado</x:t>
        </x:is>
      </x:c>
      <x:c r="O130" s="10" t="inlineStr">
        <x:is>
          <x:t xml:space="preserve">Acero galvanizado + placa OSB/fibrocemento + cámara técnica</x:t>
        </x:is>
      </x:c>
      <x:c r="P130" s="15" t="n">
        <x:v>90</x:v>
      </x:c>
      <x:c r="Q130" s="9" t="inlineStr">
        <x:is>
          <x:t xml:space="preserve">Lana mineral o lana de roca / PET / EPS según zona térmica</x:t>
        </x:is>
      </x:c>
      <x:c r="R130" s="15" t="n">
        <x:v>60</x:v>
      </x:c>
      <x:c r="S130" s="10" t="inlineStr">
        <x:is>
          <x:t xml:space="preserve">Cerchas o paneles steel frame + cubierta metálica</x:t>
        </x:is>
      </x:c>
      <x:c r="T130" s="15" t="n">
        <x:v>180</x:v>
      </x:c>
      <x:c r="U130" s="10" t="inlineStr">
        <x:is>
          <x:t xml:space="preserve">Lana mineral / lana de roca + barrera de vapor</x:t>
        </x:is>
      </x:c>
      <x:c r="V130" s="9" t="inlineStr">
        <x:is>
          <x:t xml:space="preserve">Envigado metálico o plataforma estructural</x:t>
        </x:is>
      </x:c>
      <x:c r="W130" s="10" t="inlineStr">
        <x:is>
          <x:t xml:space="preserve">Lana mineral 50-100 mm + placas estructurales</x:t>
        </x:is>
      </x:c>
      <x:c r="X130" s="9" t="inlineStr">
        <x:is>
          <x:t xml:space="preserve">Aluminio RPT termopanel</x:t>
        </x:is>
      </x:c>
      <x:c r="Y130" s="9" t="inlineStr">
        <x:is>
          <x:t xml:space="preserve">Plancha metálica</x:t>
        </x:is>
      </x:c>
      <x:c r="Z130" s="9" t="inlineStr">
        <x:is>
          <x:t xml:space="preserve">MDF pintado</x:t>
        </x:is>
      </x:c>
      <x:c r="AA130" s="9" t="inlineStr">
        <x:is>
          <x:t xml:space="preserve">Vigas de fundación y radier</x:t>
        </x:is>
      </x:c>
      <x:c r="AB130" s="15" t="n">
        <x:v>5</x:v>
      </x:c>
      <x:c r="AC130" s="15" t="n">
        <x:v>12</x:v>
      </x:c>
      <x:c r="AD130" s="9" t="inlineStr">
        <x:is>
          <x:t xml:space="preserve">Parcela</x:t>
        </x:is>
      </x:c>
      <x:c r="AE130" s="9" t="inlineStr">
        <x:is>
          <x:t xml:space="preserve">Centro-sur templado lluvioso</x:t>
        </x:is>
      </x:c>
      <x:c r="AF130" s="10" t="inlineStr">
        <x:is>
          <x:t xml:space="preserve">Criterio térmico referencial OGUC / reglamentación térmica vigente</x:t>
        </x:is>
      </x:c>
      <x:c r="AG130" s="10" t="inlineStr">
        <x:is>
          <x:t xml:space="preserve">https://www.steelframe.cl/ | https://vhaceros.cl/blog/steel-framing-principios-estructurales-y-ventajas-en-la-construccion-chilena/</x:t>
        </x:is>
      </x:c>
      <x:c r="AH130" s="10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180 mm; ventanas PVC termopanel; revestimiento exterior Plancha metálica; interior MDF pintado; fundación sugerida Radier reforzado.</x:t>
        </x:is>
      </x:c>
    </x:row>
    <x:row r="131" ht="32" customHeight="1">
      <x:c r="A131" s="9" t="inlineStr">
        <x:is>
          <x:t xml:space="preserve">MOD-0130</x:t>
        </x:is>
      </x:c>
      <x:c r="B131" s="9" t="inlineStr">
        <x:is>
          <x:t xml:space="preserve">EMP-026</x:t>
        </x:is>
      </x:c>
      <x:c r="C131" s="9" t="inlineStr">
        <x:is>
          <x:t xml:space="preserve">Pascua 192</x:t>
        </x:is>
      </x:c>
      <x:c r="D131" s="9" t="inlineStr">
        <x:is>
          <x:t xml:space="preserve">Pascua</x:t>
        </x:is>
      </x:c>
      <x:c r="E131" s="9" t="inlineStr">
        <x:is>
          <x:t xml:space="preserve">Comuna</x:t>
        </x:is>
      </x:c>
      <x:c r="F131" s="9" t="inlineStr">
        <x:is>
          <x:t xml:space="preserve">Sí</x:t>
        </x:is>
      </x:c>
      <x:c r="G131" s="9" t="inlineStr">
        <x:is>
          <x:t xml:space="preserve">HYBRID_MODULAR</x:t>
        </x:is>
      </x:c>
      <x:c r="H131" s="15" t="n">
        <x:v>192</x:v>
      </x:c>
      <x:c r="I131" s="9" t="n">
        <x:v>4</x:v>
      </x:c>
      <x:c r="J131" s="9" t="n">
        <x:v>3</x:v>
      </x:c>
      <x:c r="K131" s="9" t="n">
        <x:v>2</x:v>
      </x:c>
      <x:c r="L131" s="9" t="n">
        <x:v>4</x:v>
      </x:c>
      <x:c r="M131" s="12" t="n">
        <x:v>2.45</x:v>
      </x:c>
      <x:c r="N131" s="9" t="inlineStr">
        <x:is>
          <x:t xml:space="preserve">Estructura híbrida acero-madera panelizada</x:t>
        </x:is>
      </x:c>
      <x:c r="O131" s="10" t="inlineStr">
        <x:is>
          <x:t xml:space="preserve">Acero galvanizado o madera laminada + panel SIP MgO/OSB</x:t>
        </x:is>
      </x:c>
      <x:c r="P131" s="15" t="n">
        <x:v>140</x:v>
      </x:c>
      <x:c r="Q131" s="9" t="inlineStr">
        <x:is>
          <x:t xml:space="preserve">Lana mineral 75-100 mm o EPS integrado</x:t>
        </x:is>
      </x:c>
      <x:c r="R131" s="15" t="n">
        <x:v>75</x:v>
      </x:c>
      <x:c r="S131" s="10" t="inlineStr">
        <x:is>
          <x:t xml:space="preserve">Módulo volumétrico con cubierta panelizada</x:t>
        </x:is>
      </x:c>
      <x:c r="T131" s="15" t="n">
        <x:v>140</x:v>
      </x:c>
      <x:c r="U131" s="10" t="inlineStr">
        <x:is>
          <x:t xml:space="preserve">Lana mineral / EPS / barrera vapor</x:t>
        </x:is>
      </x:c>
      <x:c r="V131" s="9" t="inlineStr">
        <x:is>
          <x:t xml:space="preserve">Bastidor metálico o madera laminada</x:t>
        </x:is>
      </x:c>
      <x:c r="W131" s="10" t="inlineStr">
        <x:is>
          <x:t xml:space="preserve">Lana mineral 80-100 mm + fibrocemento</x:t>
        </x:is>
      </x:c>
      <x:c r="X131" s="9" t="inlineStr">
        <x:is>
          <x:t xml:space="preserve">PVC termopanel</x:t>
        </x:is>
      </x:c>
      <x:c r="Y131" s="9" t="inlineStr">
        <x:is>
          <x:t xml:space="preserve">Plancha metálica</x:t>
        </x:is>
      </x:c>
      <x:c r="Z131" s="9" t="inlineStr">
        <x:is>
          <x:t xml:space="preserve">Melamina blanca</x:t>
        </x:is>
      </x:c>
      <x:c r="AA131" s="9" t="inlineStr">
        <x:is>
          <x:t xml:space="preserve">Pilotes ajustables</x:t>
        </x:is>
      </x:c>
      <x:c r="AB131" s="15" t="n">
        <x:v>6</x:v>
      </x:c>
      <x:c r="AC131" s="15" t="n">
        <x:v>5</x:v>
      </x:c>
      <x:c r="AD131" s="9" t="inlineStr">
        <x:is>
          <x:t xml:space="preserve">Loteo habitacional</x:t>
        </x:is>
      </x:c>
      <x:c r="AE131" s="9" t="inlineStr">
        <x:is>
          <x:t xml:space="preserve">Centro-sur templado lluvioso</x:t>
        </x:is>
      </x:c>
      <x:c r="AF131" s="10" t="inlineStr">
        <x:is>
          <x:t xml:space="preserve">Criterios de prefabricación modular y coordinación BIM (referencial)</x:t>
        </x:is>
      </x:c>
      <x:c r="AG131" s="10" t="inlineStr">
        <x:is>
          <x:t xml:space="preserve">https://modul.cl/construccion-de-casas-prefabricadas-modulares/ | https://tecnofasthome.cl/casas-modulares/</x:t>
        </x:is>
      </x:c>
      <x:c r="AH131" s="10" t="inlineStr">
        <x:is>
          <x:t xml:space="preserve">Estructura: Módulos de acero + paneles SIP; muros Acero galvanizado o madera laminada + panel SIP MgO/OSB de 140 mm con aislación Lana mineral 75-100 mm o EPS integrado (75 mm); cubierta Módulo volumétrico con cubierta panelizada de 140 mm; ventanas PVC termopanel; revestimiento exterior Fibrocemento tipo siding; interior Yeso cartón pintado; fundación sugerida Radier.</x:t>
        </x:is>
      </x:c>
    </x:row>
    <x:row r="132" ht="32" customHeight="1">
      <x:c r="A132" s="9" t="inlineStr">
        <x:is>
          <x:t xml:space="preserve">MOD-0131</x:t>
        </x:is>
      </x:c>
      <x:c r="B132" s="9" t="inlineStr">
        <x:is>
          <x:t xml:space="preserve">EMP-027</x:t>
        </x:is>
      </x:c>
      <x:c r="C132" s="9" t="inlineStr">
        <x:is>
          <x:t xml:space="preserve">Aconcagua 48</x:t>
        </x:is>
      </x:c>
      <x:c r="D132" s="9" t="inlineStr">
        <x:is>
          <x:t xml:space="preserve">Aconcagua</x:t>
        </x:is>
      </x:c>
      <x:c r="E132" s="9" t="inlineStr">
        <x:is>
          <x:t xml:space="preserve">Lago</x:t>
        </x:is>
      </x:c>
      <x:c r="F132" s="9" t="inlineStr">
        <x:is>
          <x:t xml:space="preserve">Sí</x:t>
        </x:is>
      </x:c>
      <x:c r="G132" s="9" t="inlineStr">
        <x:is>
          <x:t xml:space="preserve">SIP</x:t>
        </x:is>
      </x:c>
      <x:c r="H132" s="15" t="n">
        <x:v>48</x:v>
      </x:c>
      <x:c r="I132" s="9" t="n">
        <x:v>2</x:v>
      </x:c>
      <x:c r="J132" s="9" t="n">
        <x:v>1</x:v>
      </x:c>
      <x:c r="K132" s="9" t="n">
        <x:v>1</x:v>
      </x:c>
      <x:c r="L132" s="9" t="n">
        <x:v>2</x:v>
      </x:c>
      <x:c r="M132" s="12" t="n">
        <x:v>2.35</x:v>
      </x:c>
      <x:c r="N132" s="9" t="inlineStr">
        <x:is>
          <x:t xml:space="preserve">Panel SIP estructural OSB/EPS/OSB</x:t>
        </x:is>
      </x:c>
      <x:c r="O132" s="10" t="inlineStr">
        <x:is>
          <x:t xml:space="preserve">2 placas OSB estructural + núcleo EPS alta densidad</x:t>
        </x:is>
      </x:c>
      <x:c r="P132" s="15" t="n">
        <x:v>130</x:v>
      </x:c>
      <x:c r="Q132" s="9" t="inlineStr">
        <x:is>
          <x:t xml:space="preserve">EPS alta densidad 15 kg/m³</x:t>
        </x:is>
      </x:c>
      <x:c r="R132" s="15" t="n">
        <x:v>92</x:v>
      </x:c>
      <x:c r="S132" s="10" t="inlineStr">
        <x:is>
          <x:t xml:space="preserve">Panel SIP de cubierta + membrana hidrófuga + hojalatería</x:t>
        </x:is>
      </x:c>
      <x:c r="T132" s="15" t="n">
        <x:v>114</x:v>
      </x:c>
      <x:c r="U132" s="10" t="inlineStr">
        <x:is>
          <x:t xml:space="preserve">EPS integrado + sellos PU</x:t>
        </x:is>
      </x:c>
      <x:c r="V132" s="9" t="inlineStr">
        <x:is>
          <x:t xml:space="preserve">Base entramado madera o radier con barrera de humedad</x:t>
        </x:is>
      </x:c>
      <x:c r="W132" s="10" t="inlineStr">
        <x:is>
          <x:t xml:space="preserve">Aislación bajo piso PET o lana mineral 50-100 mm</x:t>
        </x:is>
      </x:c>
      <x:c r="X132" s="9" t="inlineStr">
        <x:is>
          <x:t xml:space="preserve">Aluminio con termopanel</x:t>
        </x:is>
      </x:c>
      <x:c r="Y132" s="9" t="inlineStr">
        <x:is>
          <x:t xml:space="preserve">Plancha metálica prepintada</x:t>
        </x:is>
      </x:c>
      <x:c r="Z132" s="9" t="inlineStr">
        <x:is>
          <x:t xml:space="preserve">Yeso cartón pintado</x:t>
        </x:is>
      </x:c>
      <x:c r="AA132" s="9" t="inlineStr">
        <x:is>
          <x:t xml:space="preserve">Fundación corrida</x:t>
        </x:is>
      </x:c>
      <x:c r="AB132" s="15" t="n">
        <x:v>3</x:v>
      </x:c>
      <x:c r="AC132" s="15" t="n">
        <x:v>6</x:v>
      </x:c>
      <x:c r="AD132" s="9" t="inlineStr">
        <x:is>
          <x:t xml:space="preserve">Parcela</x:t>
        </x:is>
      </x:c>
      <x:c r="AE132" s="9" t="inlineStr">
        <x:is>
          <x:t xml:space="preserve">Centro-sur templado lluvioso</x:t>
        </x:is>
      </x:c>
      <x:c r="AF132" s="10" t="inlineStr">
        <x:is>
          <x:t xml:space="preserve">NCh3393:2016 (referencial para paneles SIP)</x:t>
        </x:is>
      </x:c>
      <x:c r="AG13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32" s="10" t="inlineStr">
        <x:is>
          <x:t xml:space="preserve">Estructura: Panel SIP estructural con uniones en pino seco; muros 2 placas OSB estructural + núcleo EPS alta densidad de 130 mm con aislación EPS alta densidad 15 kg/m³ (92 mm); cubierta Panel SIP de cubierta + membrana hidrófuga + hojalatería de 114 mm; ventanas PVC DVH; revestimiento exterior Siding fibrocemento; interior OSB sellado y pintado; fundación sugerida Fundación corrida.</x:t>
        </x:is>
      </x:c>
    </x:row>
    <x:row r="133" ht="32" customHeight="1">
      <x:c r="A133" s="9" t="inlineStr">
        <x:is>
          <x:t xml:space="preserve">MOD-0132</x:t>
        </x:is>
      </x:c>
      <x:c r="B133" s="9" t="inlineStr">
        <x:is>
          <x:t xml:space="preserve">EMP-027</x:t>
        </x:is>
      </x:c>
      <x:c r="C133" s="9" t="inlineStr">
        <x:is>
          <x:t xml:space="preserve">Choapa 80</x:t>
        </x:is>
      </x:c>
      <x:c r="D133" s="9" t="inlineStr">
        <x:is>
          <x:t xml:space="preserve">Choapa</x:t>
        </x:is>
      </x:c>
      <x:c r="E133" s="9" t="inlineStr">
        <x:is>
          <x:t xml:space="preserve">Río</x:t>
        </x:is>
      </x:c>
      <x:c r="F133" s="9" t="inlineStr">
        <x:is>
          <x:t xml:space="preserve">Sí</x:t>
        </x:is>
      </x:c>
      <x:c r="G133" s="9" t="inlineStr">
        <x:is>
          <x:t xml:space="preserve">STEEL_FRAME</x:t>
        </x:is>
      </x:c>
      <x:c r="H133" s="15" t="n">
        <x:v>80</x:v>
      </x:c>
      <x:c r="I133" s="9" t="n">
        <x:v>3</x:v>
      </x:c>
      <x:c r="J133" s="9" t="n">
        <x:v>2</x:v>
      </x:c>
      <x:c r="K133" s="9" t="n">
        <x:v>1</x:v>
      </x:c>
      <x:c r="L133" s="9" t="n">
        <x:v>2</x:v>
      </x:c>
      <x:c r="M133" s="12" t="n">
        <x:v>2.35</x:v>
      </x:c>
      <x:c r="N133" s="9" t="inlineStr">
        <x:is>
          <x:t xml:space="preserve">Perfilería de acero galvanizado liviano</x:t>
        </x:is>
      </x:c>
      <x:c r="O133" s="10" t="inlineStr">
        <x:is>
          <x:t xml:space="preserve">Acero galvanizado + placa OSB/fibrocemento + cámara técnica</x:t>
        </x:is>
      </x:c>
      <x:c r="P133" s="15" t="n">
        <x:v>90</x:v>
      </x:c>
      <x:c r="Q133" s="9" t="inlineStr">
        <x:is>
          <x:t xml:space="preserve">Lana mineral o lana de roca / PET / EPS según zona térmica</x:t>
        </x:is>
      </x:c>
      <x:c r="R133" s="15" t="n">
        <x:v>100</x:v>
      </x:c>
      <x:c r="S133" s="10" t="inlineStr">
        <x:is>
          <x:t xml:space="preserve">Cerchas o paneles steel frame + cubierta metálica</x:t>
        </x:is>
      </x:c>
      <x:c r="T133" s="15" t="n">
        <x:v>150</x:v>
      </x:c>
      <x:c r="U133" s="10" t="inlineStr">
        <x:is>
          <x:t xml:space="preserve">Lana mineral / lana de roca + barrera de vapor</x:t>
        </x:is>
      </x:c>
      <x:c r="V133" s="9" t="inlineStr">
        <x:is>
          <x:t xml:space="preserve">Envigado metálico o plataforma estructural</x:t>
        </x:is>
      </x:c>
      <x:c r="W133" s="10" t="inlineStr">
        <x:is>
          <x:t xml:space="preserve">Lana mineral 50-100 mm + placas estructurales</x:t>
        </x:is>
      </x:c>
      <x:c r="X133" s="9" t="inlineStr">
        <x:is>
          <x:t xml:space="preserve">PVC termopanel</x:t>
        </x:is>
      </x:c>
      <x:c r="Y133" s="9" t="inlineStr">
        <x:is>
          <x:t xml:space="preserve">Siding fibrocemento</x:t>
        </x:is>
      </x:c>
      <x:c r="Z133" s="9" t="inlineStr">
        <x:is>
          <x:t xml:space="preserve">Yeso cartón</x:t>
        </x:is>
      </x:c>
      <x:c r="AA133" s="9" t="inlineStr">
        <x:is>
          <x:t xml:space="preserve">Pilotes</x:t>
        </x:is>
      </x:c>
      <x:c r="AB133" s="15" t="n">
        <x:v>8</x:v>
      </x:c>
      <x:c r="AC133" s="15" t="n">
        <x:v>14</x:v>
      </x:c>
      <x:c r="AD133" s="9" t="inlineStr">
        <x:is>
          <x:t xml:space="preserve">Parcela</x:t>
        </x:is>
      </x:c>
      <x:c r="AE133" s="9" t="inlineStr">
        <x:is>
          <x:t xml:space="preserve">Centro-sur templado lluvioso</x:t>
        </x:is>
      </x:c>
      <x:c r="AF133" s="10" t="inlineStr">
        <x:is>
          <x:t xml:space="preserve">Criterio térmico referencial OGUC / reglamentación térmica vigente</x:t>
        </x:is>
      </x:c>
      <x:c r="AG133" s="10" t="inlineStr">
        <x:is>
          <x:t xml:space="preserve">https://www.steelframe.cl/ | https://vhaceros.cl/blog/steel-framing-principios-estructurales-y-ventajas-en-la-construccion-chilena/</x:t>
        </x:is>
      </x:c>
      <x:c r="AH133" s="10" t="inlineStr">
        <x:is>
          <x:t xml:space="preserve">Estructura: Perfilería de acero galvanizado liviano; muros Acero galvanizado + placa OSB/fibrocemento + cámara técnica de 90 mm con aislación Lana mineral o lana de roca / PET / EPS según zona térmica (100 mm); cubierta Cerchas o paneles steel frame + cubierta metálica de 150 mm; ventanas PVC termopanel; revestimiento exterior Plancha metálica; interior Yeso cartón; fundación sugerida Radier reforzado.</x:t>
        </x:is>
      </x:c>
    </x:row>
    <x:row r="134" ht="32" customHeight="1">
      <x:c r="A134" s="9" t="inlineStr">
        <x:is>
          <x:t xml:space="preserve">MOD-0133</x:t>
        </x:is>
      </x:c>
      <x:c r="B134" s="9" t="inlineStr">
        <x:is>
          <x:t xml:space="preserve">EMP-027</x:t>
        </x:is>
      </x:c>
      <x:c r="C134" s="9" t="inlineStr">
        <x:is>
          <x:t xml:space="preserve">Elqui 112</x:t>
        </x:is>
      </x:c>
      <x:c r="D134" s="9" t="inlineStr">
        <x:is>
          <x:t xml:space="preserve">Elqui</x:t>
        </x:is>
      </x:c>
      <x:c r="E134" s="9" t="inlineStr">
        <x:is>
          <x:t xml:space="preserve">Valle</x:t>
        </x:is>
      </x:c>
      <x:c r="F134" s="9" t="inlineStr">
        <x:is>
          <x:t xml:space="preserve">Sí</x:t>
        </x:is>
      </x:c>
      <x:c r="G134" s="9" t="inlineStr">
        <x:is>
          <x:t xml:space="preserve">SIP</x:t>
        </x:is>
      </x:c>
      <x:c r="H134" s="15" t="n">
        <x:v>112</x:v>
      </x:c>
      <x:c r="I134" s="9" t="n">
        <x:v>3</x:v>
      </x:c>
      <x:c r="J134" s="9" t="n">
        <x:v>2</x:v>
      </x:c>
      <x:c r="K134" s="9" t="n">
        <x:v>1</x:v>
      </x:c>
      <x:c r="L134" s="9" t="n">
        <x:v>3</x:v>
      </x:c>
      <x:c r="M134" s="12" t="n">
        <x:v>2.45</x:v>
      </x:c>
      <x:c r="N134" s="9" t="inlineStr">
        <x:is>
          <x:t xml:space="preserve">Panel SIP estructural OSB/EPS/OSB</x:t>
        </x:is>
      </x:c>
      <x:c r="O134" s="10" t="inlineStr">
        <x:is>
          <x:t xml:space="preserve">2 placas OSB estructural + núcleo EPS alta densidad</x:t>
        </x:is>
      </x:c>
      <x:c r="P134" s="15" t="n">
        <x:v>75</x:v>
      </x:c>
      <x:c r="Q134" s="9" t="inlineStr">
        <x:is>
          <x:t xml:space="preserve">EPS alta densidad 15 kg/m³</x:t>
        </x:is>
      </x:c>
      <x:c r="R134" s="15" t="n">
        <x:v>92</x:v>
      </x:c>
      <x:c r="S134" s="10" t="inlineStr">
        <x:is>
          <x:t xml:space="preserve">Panel SIP de cubierta + membrana hidrófuga + hojalatería</x:t>
        </x:is>
      </x:c>
      <x:c r="T134" s="15" t="n">
        <x:v>114</x:v>
      </x:c>
      <x:c r="U134" s="10" t="inlineStr">
        <x:is>
          <x:t xml:space="preserve">EPS integrado + sellos PU</x:t>
        </x:is>
      </x:c>
      <x:c r="V134" s="9" t="inlineStr">
        <x:is>
          <x:t xml:space="preserve">Base entramado madera o radier con barrera de humedad</x:t>
        </x:is>
      </x:c>
      <x:c r="W134" s="10" t="inlineStr">
        <x:is>
          <x:t xml:space="preserve">Aislación bajo piso PET o lana mineral 50-100 mm</x:t>
        </x:is>
      </x:c>
      <x:c r="X134" s="9" t="inlineStr">
        <x:is>
          <x:t xml:space="preserve">PVC termopanel</x:t>
        </x:is>
      </x:c>
      <x:c r="Y134" s="9" t="inlineStr">
        <x:is>
          <x:t xml:space="preserve">Plancha metálica prepintada</x:t>
        </x:is>
      </x:c>
      <x:c r="Z134" s="9" t="inlineStr">
        <x:is>
          <x:t xml:space="preserve">Yeso cartón pintado</x:t>
        </x:is>
      </x:c>
      <x:c r="AA134" s="9" t="inlineStr">
        <x:is>
          <x:t xml:space="preserve">Pilotes metálicos</x:t>
        </x:is>
      </x:c>
      <x:c r="AB134" s="15" t="n">
        <x:v>3</x:v>
      </x:c>
      <x:c r="AC134" s="15" t="n">
        <x:v>5</x:v>
      </x:c>
      <x:c r="AD134" s="9" t="inlineStr">
        <x:is>
          <x:t xml:space="preserve">Oficina + vivienda</x:t>
        </x:is>
      </x:c>
      <x:c r="AE134" s="9" t="inlineStr">
        <x:is>
          <x:t xml:space="preserve">Centro-sur templado lluvioso</x:t>
        </x:is>
      </x:c>
      <x:c r="AF134" s="10" t="inlineStr">
        <x:is>
          <x:t xml:space="preserve">NCh3393:2016 (referencial para paneles SIP)</x:t>
        </x:is>
      </x:c>
      <x:c r="AG13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34" s="10" t="inlineStr">
        <x:is>
          <x:t xml:space="preserve">Estructura: Panel SIP estructural OSB/EPS/OSB; muros 2 placas OSB estructural + núcleo EPS alta densidad de 75 mm con aislación EPS alta densidad 15 kg/m³ (92 mm); cubierta Panel SIP de cubierta + membrana hidrófuga + hojalatería de 114 mm; ventanas PVC DVH; revestimiento exterior Plancha metálica prepintada; interior OSB sellado y pintado; fundación sugerida Radier afinado.</x:t>
        </x:is>
      </x:c>
    </x:row>
    <x:row r="135" ht="32" customHeight="1">
      <x:c r="A135" s="9" t="inlineStr">
        <x:is>
          <x:t xml:space="preserve">MOD-0134</x:t>
        </x:is>
      </x:c>
      <x:c r="B135" s="9" t="inlineStr">
        <x:is>
          <x:t xml:space="preserve">EMP-027</x:t>
        </x:is>
      </x:c>
      <x:c r="C135" s="9" t="inlineStr">
        <x:is>
          <x:t xml:space="preserve">Limarí 120</x:t>
        </x:is>
      </x:c>
      <x:c r="D135" s="9" t="inlineStr">
        <x:is>
          <x:t xml:space="preserve">Limarí</x:t>
        </x:is>
      </x:c>
      <x:c r="E135" s="9" t="inlineStr">
        <x:is>
          <x:t xml:space="preserve">Comuna</x:t>
        </x:is>
      </x:c>
      <x:c r="F135" s="9" t="inlineStr">
        <x:is>
          <x:t xml:space="preserve">Sí</x:t>
        </x:is>
      </x:c>
      <x:c r="G135" s="9" t="inlineStr">
        <x:is>
          <x:t xml:space="preserve">CONTAINER</x:t>
        </x:is>
      </x:c>
      <x:c r="H135" s="15" t="n">
        <x:v>120</x:v>
      </x:c>
      <x:c r="I135" s="9" t="n">
        <x:v>3</x:v>
      </x:c>
      <x:c r="J135" s="9" t="n">
        <x:v>2</x:v>
      </x:c>
      <x:c r="K135" s="9" t="n">
        <x:v>1</x:v>
      </x:c>
      <x:c r="L135" s="9" t="n">
        <x:v>3</x:v>
      </x:c>
      <x:c r="M135" s="12" t="n">
        <x:v>2.4</x:v>
      </x:c>
      <x:c r="N135" s="9" t="inlineStr">
        <x:is>
          <x:t xml:space="preserve">Contenedor marítimo acondicionado</x:t>
        </x:is>
      </x:c>
      <x:c r="O135" s="10" t="inlineStr">
        <x:is>
          <x:t xml:space="preserve">Estructura container + subestructura interior + revestimiento</x:t>
        </x:is>
      </x:c>
      <x:c r="P135" s="15" t="n">
        <x:v>110</x:v>
      </x:c>
      <x:c r="Q135" s="9" t="inlineStr">
        <x:is>
          <x:t xml:space="preserve">Poliuretano proyectado o EPS/Aislapol 40-60 mm</x:t>
        </x:is>
      </x:c>
      <x:c r="R135" s="15" t="n">
        <x:v>40</x:v>
      </x:c>
      <x:c r="S135" s="10" t="inlineStr">
        <x:is>
          <x:t xml:space="preserve">Cubierta metálica container + sobretecho ventilado opcional</x:t>
        </x:is>
      </x:c>
      <x:c r="T135" s="15" t="n">
        <x:v>100</x:v>
      </x:c>
      <x:c r="U135" s="10" t="inlineStr">
        <x:is>
          <x:t xml:space="preserve">Poliuretano / EPS + barrera anticondensación</x:t>
        </x:is>
      </x:c>
      <x:c r="V135" s="9" t="inlineStr">
        <x:is>
          <x:t xml:space="preserve">Piso terciado 18 mm o base original acondicionada + vinílico</x:t>
        </x:is>
      </x:c>
      <x:c r="W135" s="10" t="inlineStr">
        <x:is>
          <x:t xml:space="preserve">Aislación bajo piso 40-80 mm</x:t>
        </x:is>
      </x:c>
      <x:c r="X135" s="9" t="inlineStr">
        <x:is>
          <x:t xml:space="preserve">Aluminio termopanel</x:t>
        </x:is>
      </x:c>
      <x:c r="Y135" s="9" t="inlineStr">
        <x:is>
          <x:t xml:space="preserve">Plancha metálica prepintada</x:t>
        </x:is>
      </x:c>
      <x:c r="Z135" s="9" t="inlineStr">
        <x:is>
          <x:t xml:space="preserve">Yeso cartón</x:t>
        </x:is>
      </x:c>
      <x:c r="AA135" s="9" t="inlineStr">
        <x:is>
          <x:t xml:space="preserve">Pilotes metálicos</x:t>
        </x:is>
      </x:c>
      <x:c r="AB135" s="15" t="n">
        <x:v>6</x:v>
      </x:c>
      <x:c r="AC135" s="15" t="n">
        <x:v>3</x:v>
      </x:c>
      <x:c r="AD135" s="9" t="inlineStr">
        <x:is>
          <x:t xml:space="preserve">Loteo habitacional</x:t>
        </x:is>
      </x:c>
      <x:c r="AE135" s="9" t="inlineStr">
        <x:is>
          <x:t xml:space="preserve">Centro-sur templado lluvioso</x:t>
        </x:is>
      </x:c>
      <x:c r="AF135" s="10" t="inlineStr">
        <x:is>
          <x:t xml:space="preserve">Criterios de aislación, ventilación y tratamiento anticorrosivo (referencial)</x:t>
        </x:is>
      </x:c>
      <x:c r="AG135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35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100 mm; ventanas Aluminio termopanel; revestimiento exterior Acero galvanizado pintado; interior Yeso cartón; fundación sugerida Pilotes metálicos.</x:t>
        </x:is>
      </x:c>
    </x:row>
    <x:row r="136" ht="32" customHeight="1">
      <x:c r="A136" s="9" t="inlineStr">
        <x:is>
          <x:t xml:space="preserve">MOD-0135</x:t>
        </x:is>
      </x:c>
      <x:c r="B136" s="9" t="inlineStr">
        <x:is>
          <x:t xml:space="preserve">EMP-027</x:t>
        </x:is>
      </x:c>
      <x:c r="C136" s="9" t="inlineStr">
        <x:is>
          <x:t xml:space="preserve">Huasco 210</x:t>
        </x:is>
      </x:c>
      <x:c r="D136" s="9" t="inlineStr">
        <x:is>
          <x:t xml:space="preserve">Huasco</x:t>
        </x:is>
      </x:c>
      <x:c r="E136" s="9" t="inlineStr">
        <x:is>
          <x:t xml:space="preserve">Archipiélago</x:t>
        </x:is>
      </x:c>
      <x:c r="F136" s="9" t="inlineStr">
        <x:is>
          <x:t xml:space="preserve">Sí</x:t>
        </x:is>
      </x:c>
      <x:c r="G136" s="9" t="inlineStr">
        <x:is>
          <x:t xml:space="preserve">HYBRID_MODULAR</x:t>
        </x:is>
      </x:c>
      <x:c r="H136" s="15" t="n">
        <x:v>210</x:v>
      </x:c>
      <x:c r="I136" s="9" t="n">
        <x:v>4</x:v>
      </x:c>
      <x:c r="J136" s="9" t="n">
        <x:v>3</x:v>
      </x:c>
      <x:c r="K136" s="9" t="n">
        <x:v>2</x:v>
      </x:c>
      <x:c r="L136" s="9" t="n">
        <x:v>4</x:v>
      </x:c>
      <x:c r="M136" s="12" t="n">
        <x:v>2.35</x:v>
      </x:c>
      <x:c r="N136" s="9" t="inlineStr">
        <x:is>
          <x:t xml:space="preserve">Estructura híbrida acero-madera panelizada</x:t>
        </x:is>
      </x:c>
      <x:c r="O136" s="10" t="inlineStr">
        <x:is>
          <x:t xml:space="preserve">Acero galvanizado o madera laminada + panel SIP MgO/OSB</x:t>
        </x:is>
      </x:c>
      <x:c r="P136" s="15" t="n">
        <x:v>110</x:v>
      </x:c>
      <x:c r="Q136" s="9" t="inlineStr">
        <x:is>
          <x:t xml:space="preserve">Lana mineral 75-100 mm o EPS integrado</x:t>
        </x:is>
      </x:c>
      <x:c r="R136" s="15" t="n">
        <x:v>75</x:v>
      </x:c>
      <x:c r="S136" s="10" t="inlineStr">
        <x:is>
          <x:t xml:space="preserve">Módulo volumétrico con cubierta panelizada</x:t>
        </x:is>
      </x:c>
      <x:c r="T136" s="15" t="n">
        <x:v>160</x:v>
      </x:c>
      <x:c r="U136" s="10" t="inlineStr">
        <x:is>
          <x:t xml:space="preserve">Lana mineral / EPS / barrera vapor</x:t>
        </x:is>
      </x:c>
      <x:c r="V136" s="9" t="inlineStr">
        <x:is>
          <x:t xml:space="preserve">Bastidor metálico o madera laminada</x:t>
        </x:is>
      </x:c>
      <x:c r="W136" s="10" t="inlineStr">
        <x:is>
          <x:t xml:space="preserve">Lana mineral 80-100 mm + fibrocemento</x:t>
        </x:is>
      </x:c>
      <x:c r="X136" s="9" t="inlineStr">
        <x:is>
          <x:t xml:space="preserve">Aluminio termopanel</x:t>
        </x:is>
      </x:c>
      <x:c r="Y136" s="9" t="inlineStr">
        <x:is>
          <x:t xml:space="preserve">Madera tratada</x:t>
        </x:is>
      </x:c>
      <x:c r="Z136" s="9" t="inlineStr">
        <x:is>
          <x:t xml:space="preserve">Yeso cartón RH</x:t>
        </x:is>
      </x:c>
      <x:c r="AA136" s="9" t="inlineStr">
        <x:is>
          <x:t xml:space="preserve">Radier</x:t>
        </x:is>
      </x:c>
      <x:c r="AB136" s="15" t="n">
        <x:v>8</x:v>
      </x:c>
      <x:c r="AC136" s="15" t="n">
        <x:v>5</x:v>
      </x:c>
      <x:c r="AD136" s="9" t="inlineStr">
        <x:is>
          <x:t xml:space="preserve">Parcela</x:t>
        </x:is>
      </x:c>
      <x:c r="AE136" s="9" t="inlineStr">
        <x:is>
          <x:t xml:space="preserve">Centro-sur templado lluvioso</x:t>
        </x:is>
      </x:c>
      <x:c r="AF136" s="10" t="inlineStr">
        <x:is>
          <x:t xml:space="preserve">Criterios de prefabricación modular y coordinación BIM (referencial)</x:t>
        </x:is>
      </x:c>
      <x:c r="AG136" s="10" t="inlineStr">
        <x:is>
          <x:t xml:space="preserve">https://modul.cl/construccion-de-casas-prefabricadas-modulares/ | https://tecnofasthome.cl/casas-modulares/</x:t>
        </x:is>
      </x:c>
      <x:c r="AH136" s="10" t="inlineStr">
        <x:is>
          <x:t xml:space="preserve">Estructura: Estructura híbrida acero-madera panelizada; muros Acero galvanizado o madera laminada + panel SIP MgO/OSB de 110 mm con aislación Lana mineral 75-100 mm o EPS integrado (75 mm); cubierta Módulo volumétrico con cubierta panelizada de 160 mm; ventanas PVC termopanel; revestimiento exterior Plancha metálica; interior Yeso cartón RH; fundación sugerida Pilotes ajustables.</x:t>
        </x:is>
      </x:c>
    </x:row>
    <x:row r="137" ht="32" customHeight="1">
      <x:c r="A137" s="9" t="inlineStr">
        <x:is>
          <x:t xml:space="preserve">MOD-0136</x:t>
        </x:is>
      </x:c>
      <x:c r="B137" s="9" t="inlineStr">
        <x:is>
          <x:t xml:space="preserve">EMP-028</x:t>
        </x:is>
      </x:c>
      <x:c r="C137" s="9" t="inlineStr">
        <x:is>
          <x:t xml:space="preserve">Copiapó 60</x:t>
        </x:is>
      </x:c>
      <x:c r="D137" s="9" t="inlineStr">
        <x:is>
          <x:t xml:space="preserve">Copiapó</x:t>
        </x:is>
      </x:c>
      <x:c r="E137" s="9" t="inlineStr">
        <x:is>
          <x:t xml:space="preserve">Valle</x:t>
        </x:is>
      </x:c>
      <x:c r="F137" s="9" t="inlineStr">
        <x:is>
          <x:t xml:space="preserve">Sí</x:t>
        </x:is>
      </x:c>
      <x:c r="G137" s="9" t="inlineStr">
        <x:is>
          <x:t xml:space="preserve">MODULAR_TIMBER</x:t>
        </x:is>
      </x:c>
      <x:c r="H137" s="15" t="n">
        <x:v>60</x:v>
      </x:c>
      <x:c r="I137" s="9" t="n">
        <x:v>2</x:v>
      </x:c>
      <x:c r="J137" s="9" t="n">
        <x:v>1</x:v>
      </x:c>
      <x:c r="K137" s="9" t="n">
        <x:v>1</x:v>
      </x:c>
      <x:c r="L137" s="9" t="n">
        <x:v>2</x:v>
      </x:c>
      <x:c r="M137" s="12" t="n">
        <x:v>2.5</x:v>
      </x:c>
      <x:c r="N137" s="9" t="inlineStr">
        <x:is>
          <x:t xml:space="preserve">Madera laminada y entramado ligero</x:t>
        </x:is>
      </x:c>
      <x:c r="O137" s="10" t="inlineStr">
        <x:is>
          <x:t xml:space="preserve">Madera estructural + OSB / terciado + barrera hidrófuga</x:t>
        </x:is>
      </x:c>
      <x:c r="P137" s="15" t="n">
        <x:v>120</x:v>
      </x:c>
      <x:c r="Q137" s="9" t="inlineStr">
        <x:is>
          <x:t xml:space="preserve">Lana mineral / lana de vidrio / PET reciclado</x:t>
        </x:is>
      </x:c>
      <x:c r="R137" s="15" t="n">
        <x:v>100</x:v>
      </x:c>
      <x:c r="S137" s="10" t="inlineStr">
        <x:is>
          <x:t xml:space="preserve">Cercha de madera + cubierta metálica o tejuela asfáltica</x:t>
        </x:is>
      </x:c>
      <x:c r="T137" s="15" t="n">
        <x:v>150</x:v>
      </x:c>
      <x:c r="U137" s="10" t="inlineStr">
        <x:is>
          <x:t xml:space="preserve">Lana mineral 80-140 mm + membrana</x:t>
        </x:is>
      </x:c>
      <x:c r="V137" s="9" t="inlineStr">
        <x:is>
          <x:t xml:space="preserve">Plataforma de madera estructural o radier</x:t>
        </x:is>
      </x:c>
      <x:c r="W137" s="10" t="inlineStr">
        <x:is>
          <x:t xml:space="preserve">Lana mineral 50-100 mm / barrera humedad</x:t>
        </x:is>
      </x:c>
      <x:c r="X137" s="9" t="inlineStr">
        <x:is>
          <x:t xml:space="preserve">Aluminio termopanel</x:t>
        </x:is>
      </x:c>
      <x:c r="Y137" s="9" t="inlineStr">
        <x:is>
          <x:t xml:space="preserve">Madera tratada</x:t>
        </x:is>
      </x:c>
      <x:c r="Z137" s="9" t="inlineStr">
        <x:is>
          <x:t xml:space="preserve">Yeso cartón</x:t>
        </x:is>
      </x:c>
      <x:c r="AA137" s="9" t="inlineStr">
        <x:is>
          <x:t xml:space="preserve">Pilotes</x:t>
        </x:is>
      </x:c>
      <x:c r="AB137" s="15" t="n">
        <x:v>5</x:v>
      </x:c>
      <x:c r="AC137" s="15" t="n">
        <x:v>7</x:v>
      </x:c>
      <x:c r="AD137" s="9" t="inlineStr">
        <x:is>
          <x:t xml:space="preserve">Primera vivienda</x:t>
        </x:is>
      </x:c>
      <x:c r="AE137" s="9" t="inlineStr">
        <x:is>
          <x:t xml:space="preserve">Centro-sur templado lluvioso</x:t>
        </x:is>
      </x:c>
      <x:c r="AF137" s="10" t="inlineStr">
        <x:is>
          <x:t xml:space="preserve">Especificaciones técnicas de vivienda industrializada en madera (referencial)</x:t>
        </x:is>
      </x:c>
      <x:c r="AG137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37" s="10" t="inlineStr">
        <x:is>
          <x:t xml:space="preserve">Estructura: Wood frame modular; muros Madera estructural + OSB / terciado + barrera hidrófuga de 120 mm con aislación Lana mineral / lana de vidrio / PET reciclado (100 mm); cubierta Cercha de madera + cubierta metálica o tejuela asfáltica de 150 mm; ventanas PVC termopanel; revestimiento exterior Smart Panel; interior MDF ranurado; fundación sugerida Pilotes.</x:t>
        </x:is>
      </x:c>
    </x:row>
    <x:row r="138" ht="32" customHeight="1">
      <x:c r="A138" s="9" t="inlineStr">
        <x:is>
          <x:t xml:space="preserve">MOD-0137</x:t>
        </x:is>
      </x:c>
      <x:c r="B138" s="9" t="inlineStr">
        <x:is>
          <x:t xml:space="preserve">EMP-028</x:t>
        </x:is>
      </x:c>
      <x:c r="C138" s="9" t="inlineStr">
        <x:is>
          <x:t xml:space="preserve">Loa 80</x:t>
        </x:is>
      </x:c>
      <x:c r="D138" s="9" t="inlineStr">
        <x:is>
          <x:t xml:space="preserve">Loa</x:t>
        </x:is>
      </x:c>
      <x:c r="E138" s="9" t="inlineStr">
        <x:is>
          <x:t xml:space="preserve">Lago</x:t>
        </x:is>
      </x:c>
      <x:c r="F138" s="9" t="inlineStr">
        <x:is>
          <x:t xml:space="preserve">Sí</x:t>
        </x:is>
      </x:c>
      <x:c r="G138" s="9" t="inlineStr">
        <x:is>
          <x:t xml:space="preserve">MODULAR_TIMBER</x:t>
        </x:is>
      </x:c>
      <x:c r="H138" s="15" t="n">
        <x:v>80</x:v>
      </x:c>
      <x:c r="I138" s="9" t="n">
        <x:v>3</x:v>
      </x:c>
      <x:c r="J138" s="9" t="n">
        <x:v>2</x:v>
      </x:c>
      <x:c r="K138" s="9" t="n">
        <x:v>1</x:v>
      </x:c>
      <x:c r="L138" s="9" t="n">
        <x:v>2</x:v>
      </x:c>
      <x:c r="M138" s="12" t="n">
        <x:v>2.45</x:v>
      </x:c>
      <x:c r="N138" s="9" t="inlineStr">
        <x:is>
          <x:t xml:space="preserve">Madera laminada y entramado ligero</x:t>
        </x:is>
      </x:c>
      <x:c r="O138" s="10" t="inlineStr">
        <x:is>
          <x:t xml:space="preserve">Madera estructural + OSB / terciado + barrera hidrófuga</x:t>
        </x:is>
      </x:c>
      <x:c r="P138" s="15" t="n">
        <x:v>100</x:v>
      </x:c>
      <x:c r="Q138" s="9" t="inlineStr">
        <x:is>
          <x:t xml:space="preserve">Lana mineral / lana de vidrio / PET reciclado</x:t>
        </x:is>
      </x:c>
      <x:c r="R138" s="15" t="n">
        <x:v>90</x:v>
      </x:c>
      <x:c r="S138" s="10" t="inlineStr">
        <x:is>
          <x:t xml:space="preserve">Cercha de madera + cubierta metálica o tejuela asfáltica</x:t>
        </x:is>
      </x:c>
      <x:c r="T138" s="15" t="n">
        <x:v>180</x:v>
      </x:c>
      <x:c r="U138" s="10" t="inlineStr">
        <x:is>
          <x:t xml:space="preserve">Lana mineral 80-140 mm + membrana</x:t>
        </x:is>
      </x:c>
      <x:c r="V138" s="9" t="inlineStr">
        <x:is>
          <x:t xml:space="preserve">Plataforma de madera estructural o radier</x:t>
        </x:is>
      </x:c>
      <x:c r="W138" s="10" t="inlineStr">
        <x:is>
          <x:t xml:space="preserve">Lana mineral 50-100 mm / barrera humedad</x:t>
        </x:is>
      </x:c>
      <x:c r="X138" s="9" t="inlineStr">
        <x:is>
          <x:t xml:space="preserve">Aluminio termopanel</x:t>
        </x:is>
      </x:c>
      <x:c r="Y138" s="9" t="inlineStr">
        <x:is>
          <x:t xml:space="preserve">Madera tratada</x:t>
        </x:is>
      </x:c>
      <x:c r="Z138" s="9" t="inlineStr">
        <x:is>
          <x:t xml:space="preserve">Yeso cartón</x:t>
        </x:is>
      </x:c>
      <x:c r="AA138" s="9" t="inlineStr">
        <x:is>
          <x:t xml:space="preserve">Radier</x:t>
        </x:is>
      </x:c>
      <x:c r="AB138" s="15" t="n">
        <x:v>9</x:v>
      </x:c>
      <x:c r="AC138" s="15" t="n">
        <x:v>7</x:v>
      </x:c>
      <x:c r="AD138" s="9" t="inlineStr">
        <x:is>
          <x:t xml:space="preserve">Turismo / arriendo</x:t>
        </x:is>
      </x:c>
      <x:c r="AE138" s="9" t="inlineStr">
        <x:is>
          <x:t xml:space="preserve">Centro-sur templado lluvioso</x:t>
        </x:is>
      </x:c>
      <x:c r="AF138" s="10" t="inlineStr">
        <x:is>
          <x:t xml:space="preserve">Especificaciones técnicas de vivienda industrializada en madera (referencial)</x:t>
        </x:is>
      </x:c>
      <x:c r="AG138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38" s="10" t="inlineStr">
        <x:is>
          <x:t xml:space="preserve">Estructura: Entramado ligero en pino impregnado; muros Madera estructural + OSB / terciado + barrera hidrófuga de 100 mm con aislación Lana mineral / lana de vidrio / PET reciclado (90 mm); cubierta Cercha de madera + cubierta metálica o tejuela asfáltica de 180 mm; ventanas Aluminio termopanel; revestimiento exterior Siding fibrocemento; interior Yeso cartón; fundación sugerida Pilotes.</x:t>
        </x:is>
      </x:c>
    </x:row>
    <x:row r="139" ht="32" customHeight="1">
      <x:c r="A139" s="9" t="inlineStr">
        <x:is>
          <x:t xml:space="preserve">MOD-0138</x:t>
        </x:is>
      </x:c>
      <x:c r="B139" s="9" t="inlineStr">
        <x:is>
          <x:t xml:space="preserve">EMP-028</x:t>
        </x:is>
      </x:c>
      <x:c r="C139" s="9" t="inlineStr">
        <x:is>
          <x:t xml:space="preserve">Lauca 88</x:t>
        </x:is>
      </x:c>
      <x:c r="D139" s="9" t="inlineStr">
        <x:is>
          <x:t xml:space="preserve">Lauca</x:t>
        </x:is>
      </x:c>
      <x:c r="E139" s="9" t="inlineStr">
        <x:is>
          <x:t xml:space="preserve">Lago</x:t>
        </x:is>
      </x:c>
      <x:c r="F139" s="9" t="inlineStr">
        <x:is>
          <x:t xml:space="preserve">Sí</x:t>
        </x:is>
      </x:c>
      <x:c r="G139" s="9" t="inlineStr">
        <x:is>
          <x:t xml:space="preserve">SIP</x:t>
        </x:is>
      </x:c>
      <x:c r="H139" s="15" t="n">
        <x:v>88</x:v>
      </x:c>
      <x:c r="I139" s="9" t="n">
        <x:v>3</x:v>
      </x:c>
      <x:c r="J139" s="9" t="n">
        <x:v>2</x:v>
      </x:c>
      <x:c r="K139" s="9" t="n">
        <x:v>1</x:v>
      </x:c>
      <x:c r="L139" s="9" t="n">
        <x:v>3</x:v>
      </x:c>
      <x:c r="M139" s="12" t="n">
        <x:v>2.4</x:v>
      </x:c>
      <x:c r="N139" s="9" t="inlineStr">
        <x:is>
          <x:t xml:space="preserve">Panel SIP estructural OSB/EPS/OSB</x:t>
        </x:is>
      </x:c>
      <x:c r="O139" s="10" t="inlineStr">
        <x:is>
          <x:t xml:space="preserve">2 placas OSB estructural + núcleo EPS alta densidad</x:t>
        </x:is>
      </x:c>
      <x:c r="P139" s="15" t="n">
        <x:v>90</x:v>
      </x:c>
      <x:c r="Q139" s="9" t="inlineStr">
        <x:is>
          <x:t xml:space="preserve">EPS alta densidad 15 kg/m³</x:t>
        </x:is>
      </x:c>
      <x:c r="R139" s="15" t="n">
        <x:v>68</x:v>
      </x:c>
      <x:c r="S139" s="10" t="inlineStr">
        <x:is>
          <x:t xml:space="preserve">Panel SIP de cubierta + membrana hidrófuga + hojalatería</x:t>
        </x:is>
      </x:c>
      <x:c r="T139" s="15" t="n">
        <x:v>130</x:v>
      </x:c>
      <x:c r="U139" s="10" t="inlineStr">
        <x:is>
          <x:t xml:space="preserve">EPS integrado + sellos PU</x:t>
        </x:is>
      </x:c>
      <x:c r="V139" s="9" t="inlineStr">
        <x:is>
          <x:t xml:space="preserve">Base entramado madera o radier con barrera de humedad</x:t>
        </x:is>
      </x:c>
      <x:c r="W139" s="10" t="inlineStr">
        <x:is>
          <x:t xml:space="preserve">Aislación bajo piso PET o lana mineral 50-100 mm</x:t>
        </x:is>
      </x:c>
      <x:c r="X139" s="9" t="inlineStr">
        <x:is>
          <x:t xml:space="preserve">PVC DVH</x:t>
        </x:is>
      </x:c>
      <x:c r="Y139" s="9" t="inlineStr">
        <x:is>
          <x:t xml:space="preserve">Plancha metálica prepintada</x:t>
        </x:is>
      </x:c>
      <x:c r="Z139" s="9" t="inlineStr">
        <x:is>
          <x:t xml:space="preserve">Yeso cartón pintado</x:t>
        </x:is>
      </x:c>
      <x:c r="AA139" s="9" t="inlineStr">
        <x:is>
          <x:t xml:space="preserve">Fundación corrida</x:t>
        </x:is>
      </x:c>
      <x:c r="AB139" s="15" t="n">
        <x:v>7</x:v>
      </x:c>
      <x:c r="AC139" s="15" t="n">
        <x:v>8</x:v>
      </x:c>
      <x:c r="AD139" s="9" t="inlineStr">
        <x:is>
          <x:t xml:space="preserve">Oficina + vivienda</x:t>
        </x:is>
      </x:c>
      <x:c r="AE139" s="9" t="inlineStr">
        <x:is>
          <x:t xml:space="preserve">Centro-sur templado lluvioso</x:t>
        </x:is>
      </x:c>
      <x:c r="AF139" s="10" t="inlineStr">
        <x:is>
          <x:t xml:space="preserve">NCh3393:2016 (referencial para paneles SIP)</x:t>
        </x:is>
      </x:c>
      <x:c r="AG13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39" s="10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130 mm; ventanas Aluminio con termopanel; revestimiento exterior Siding fibrocemento; interior Yeso cartón pintado; fundación sugerida Radier afinado.</x:t>
        </x:is>
      </x:c>
    </x:row>
    <x:row r="140" ht="32" customHeight="1">
      <x:c r="A140" s="9" t="inlineStr">
        <x:is>
          <x:t xml:space="preserve">MOD-0139</x:t>
        </x:is>
      </x:c>
      <x:c r="B140" s="9" t="inlineStr">
        <x:is>
          <x:t xml:space="preserve">EMP-028</x:t>
        </x:is>
      </x:c>
      <x:c r="C140" s="9" t="inlineStr">
        <x:is>
          <x:t xml:space="preserve">Tinguiririca 132</x:t>
        </x:is>
      </x:c>
      <x:c r="D140" s="9" t="inlineStr">
        <x:is>
          <x:t xml:space="preserve">Tinguiririca</x:t>
        </x:is>
      </x:c>
      <x:c r="E140" s="9" t="inlineStr">
        <x:is>
          <x:t xml:space="preserve">Valle</x:t>
        </x:is>
      </x:c>
      <x:c r="F140" s="9" t="inlineStr">
        <x:is>
          <x:t xml:space="preserve">Sí</x:t>
        </x:is>
      </x:c>
      <x:c r="G140" s="9" t="inlineStr">
        <x:is>
          <x:t xml:space="preserve">HYBRID_MODULAR</x:t>
        </x:is>
      </x:c>
      <x:c r="H140" s="15" t="n">
        <x:v>132</x:v>
      </x:c>
      <x:c r="I140" s="9" t="n">
        <x:v>3</x:v>
      </x:c>
      <x:c r="J140" s="9" t="n">
        <x:v>2</x:v>
      </x:c>
      <x:c r="K140" s="9" t="n">
        <x:v>1</x:v>
      </x:c>
      <x:c r="L140" s="9" t="n">
        <x:v>3</x:v>
      </x:c>
      <x:c r="M140" s="12" t="n">
        <x:v>2.35</x:v>
      </x:c>
      <x:c r="N140" s="9" t="inlineStr">
        <x:is>
          <x:t xml:space="preserve">Estructura híbrida acero-madera panelizada</x:t>
        </x:is>
      </x:c>
      <x:c r="O140" s="10" t="inlineStr">
        <x:is>
          <x:t xml:space="preserve">Acero galvanizado o madera laminada + panel SIP MgO/OSB</x:t>
        </x:is>
      </x:c>
      <x:c r="P140" s="15" t="n">
        <x:v>140</x:v>
      </x:c>
      <x:c r="Q140" s="9" t="inlineStr">
        <x:is>
          <x:t xml:space="preserve">Lana mineral 75-100 mm o EPS integrado</x:t>
        </x:is>
      </x:c>
      <x:c r="R140" s="15" t="n">
        <x:v>100</x:v>
      </x:c>
      <x:c r="S140" s="10" t="inlineStr">
        <x:is>
          <x:t xml:space="preserve">Módulo volumétrico con cubierta panelizada</x:t>
        </x:is>
      </x:c>
      <x:c r="T140" s="15" t="n">
        <x:v>140</x:v>
      </x:c>
      <x:c r="U140" s="10" t="inlineStr">
        <x:is>
          <x:t xml:space="preserve">Lana mineral / EPS / barrera vapor</x:t>
        </x:is>
      </x:c>
      <x:c r="V140" s="9" t="inlineStr">
        <x:is>
          <x:t xml:space="preserve">Bastidor metálico o madera laminada</x:t>
        </x:is>
      </x:c>
      <x:c r="W140" s="10" t="inlineStr">
        <x:is>
          <x:t xml:space="preserve">Lana mineral 80-100 mm + fibrocemento</x:t>
        </x:is>
      </x:c>
      <x:c r="X140" s="9" t="inlineStr">
        <x:is>
          <x:t xml:space="preserve">PVC termopanel</x:t>
        </x:is>
      </x:c>
      <x:c r="Y140" s="9" t="inlineStr">
        <x:is>
          <x:t xml:space="preserve">Madera tratada</x:t>
        </x:is>
      </x:c>
      <x:c r="Z140" s="9" t="inlineStr">
        <x:is>
          <x:t xml:space="preserve">Yeso cartón RH</x:t>
        </x:is>
      </x:c>
      <x:c r="AA140" s="9" t="inlineStr">
        <x:is>
          <x:t xml:space="preserve">Dados de hormigón</x:t>
        </x:is>
      </x:c>
      <x:c r="AB140" s="15" t="n">
        <x:v>7</x:v>
      </x:c>
      <x:c r="AC140" s="15" t="n">
        <x:v>4</x:v>
      </x:c>
      <x:c r="AD140" s="9" t="inlineStr">
        <x:is>
          <x:t xml:space="preserve">Loteo habitacional</x:t>
        </x:is>
      </x:c>
      <x:c r="AE140" s="9" t="inlineStr">
        <x:is>
          <x:t xml:space="preserve">Centro-sur templado lluvioso</x:t>
        </x:is>
      </x:c>
      <x:c r="AF140" s="10" t="inlineStr">
        <x:is>
          <x:t xml:space="preserve">Criterios de prefabricación modular y coordinación BIM (referencial)</x:t>
        </x:is>
      </x:c>
      <x:c r="AG140" s="10" t="inlineStr">
        <x:is>
          <x:t xml:space="preserve">https://modul.cl/construccion-de-casas-prefabricadas-modulares/ | https://tecnofasthome.cl/casas-modulares/</x:t>
        </x:is>
      </x:c>
      <x:c r="AH140" s="10" t="inlineStr">
        <x:is>
          <x:t xml:space="preserve">Estructura: Módulos de acero + paneles SIP; muros Acero galvanizado o madera laminada + panel SIP MgO/OSB de 140 mm con aislación Lana mineral 75-100 mm o EPS integrado (100 mm); cubierta Módulo volumétrico con cubierta panelizada de 140 mm; ventanas PVC termopanel; revestimiento exterior Plancha metálica; interior Yeso cartón RH; fundación sugerida Pilotes ajustables.</x:t>
        </x:is>
      </x:c>
    </x:row>
    <x:row r="141" ht="32" customHeight="1">
      <x:c r="A141" s="9" t="inlineStr">
        <x:is>
          <x:t xml:space="preserve">MOD-0140</x:t>
        </x:is>
      </x:c>
      <x:c r="B141" s="9" t="inlineStr">
        <x:is>
          <x:t xml:space="preserve">EMP-028</x:t>
        </x:is>
      </x:c>
      <x:c r="C141" s="9" t="inlineStr">
        <x:is>
          <x:t xml:space="preserve">Claro 210</x:t>
        </x:is>
      </x:c>
      <x:c r="D141" s="9" t="inlineStr">
        <x:is>
          <x:t xml:space="preserve">Claro</x:t>
        </x:is>
      </x:c>
      <x:c r="E141" s="9" t="inlineStr">
        <x:is>
          <x:t xml:space="preserve">Archipiélago</x:t>
        </x:is>
      </x:c>
      <x:c r="F141" s="9" t="inlineStr">
        <x:is>
          <x:t xml:space="preserve">Sí</x:t>
        </x:is>
      </x:c>
      <x:c r="G141" s="9" t="inlineStr">
        <x:is>
          <x:t xml:space="preserve">STEEL_FRAME</x:t>
        </x:is>
      </x:c>
      <x:c r="H141" s="15" t="n">
        <x:v>210</x:v>
      </x:c>
      <x:c r="I141" s="9" t="n">
        <x:v>4</x:v>
      </x:c>
      <x:c r="J141" s="9" t="n">
        <x:v>3</x:v>
      </x:c>
      <x:c r="K141" s="9" t="n">
        <x:v>1</x:v>
      </x:c>
      <x:c r="L141" s="9" t="n">
        <x:v>4</x:v>
      </x:c>
      <x:c r="M141" s="12" t="n">
        <x:v>2.45</x:v>
      </x:c>
      <x:c r="N141" s="9" t="inlineStr">
        <x:is>
          <x:t xml:space="preserve">Perfilería de acero galvanizado liviano</x:t>
        </x:is>
      </x:c>
      <x:c r="O141" s="10" t="inlineStr">
        <x:is>
          <x:t xml:space="preserve">Acero galvanizado + placa OSB/fibrocemento + cámara técnica</x:t>
        </x:is>
      </x:c>
      <x:c r="P141" s="15" t="n">
        <x:v>140</x:v>
      </x:c>
      <x:c r="Q141" s="9" t="inlineStr">
        <x:is>
          <x:t xml:space="preserve">Lana mineral o lana de roca / PET / EPS según zona térmica</x:t>
        </x:is>
      </x:c>
      <x:c r="R141" s="15" t="n">
        <x:v>90</x:v>
      </x:c>
      <x:c r="S141" s="10" t="inlineStr">
        <x:is>
          <x:t xml:space="preserve">Cerchas o paneles steel frame + cubierta metálica</x:t>
        </x:is>
      </x:c>
      <x:c r="T141" s="15" t="n">
        <x:v>150</x:v>
      </x:c>
      <x:c r="U141" s="10" t="inlineStr">
        <x:is>
          <x:t xml:space="preserve">Lana mineral / lana de roca + barrera de vapor</x:t>
        </x:is>
      </x:c>
      <x:c r="V141" s="9" t="inlineStr">
        <x:is>
          <x:t xml:space="preserve">Envigado metálico o plataforma estructural</x:t>
        </x:is>
      </x:c>
      <x:c r="W141" s="10" t="inlineStr">
        <x:is>
          <x:t xml:space="preserve">Lana mineral 50-100 mm + placas estructurales</x:t>
        </x:is>
      </x:c>
      <x:c r="X141" s="9" t="inlineStr">
        <x:is>
          <x:t xml:space="preserve">PVC termopanel</x:t>
        </x:is>
      </x:c>
      <x:c r="Y141" s="9" t="inlineStr">
        <x:is>
          <x:t xml:space="preserve">Plancha metálica</x:t>
        </x:is>
      </x:c>
      <x:c r="Z141" s="9" t="inlineStr">
        <x:is>
          <x:t xml:space="preserve">Yeso cartón RF</x:t>
        </x:is>
      </x:c>
      <x:c r="AA141" s="9" t="inlineStr">
        <x:is>
          <x:t xml:space="preserve">Vigas de fundación y radier</x:t>
        </x:is>
      </x:c>
      <x:c r="AB141" s="15" t="n">
        <x:v>5</x:v>
      </x:c>
      <x:c r="AC141" s="15" t="n">
        <x:v>8</x:v>
      </x:c>
      <x:c r="AD141" s="9" t="inlineStr">
        <x:is>
          <x:t xml:space="preserve">Turismo / arriendo</x:t>
        </x:is>
      </x:c>
      <x:c r="AE141" s="9" t="inlineStr">
        <x:is>
          <x:t xml:space="preserve">Centro-sur templado lluvioso</x:t>
        </x:is>
      </x:c>
      <x:c r="AF141" s="10" t="inlineStr">
        <x:is>
          <x:t xml:space="preserve">Criterio térmico referencial OGUC / reglamentación térmica vigente</x:t>
        </x:is>
      </x:c>
      <x:c r="AG141" s="10" t="inlineStr">
        <x:is>
          <x:t xml:space="preserve">https://www.steelframe.cl/ | https://vhaceros.cl/blog/steel-framing-principios-estructurales-y-ventajas-en-la-construccion-chilena/</x:t>
        </x:is>
      </x:c>
      <x:c r="AH141" s="10" t="inlineStr">
        <x:is>
          <x:t xml:space="preserve">Estructura: Panelizado steel frame industrializado; muros Acero galvanizado + placa OSB/fibrocemento + cámara técnica de 140 mm con aislación Lana mineral o lana de roca / PET / EPS según zona térmica (90 mm); cubierta Cerchas o paneles steel frame + cubierta metálica de 150 mm; ventanas Aluminio RPT termopanel; revestimiento exterior Estuco sobre placa cementicia; interior Yeso cartón RF; fundación sugerida Radier reforzado.</x:t>
        </x:is>
      </x:c>
    </x:row>
    <x:row r="142" ht="32" customHeight="1">
      <x:c r="A142" s="9" t="inlineStr">
        <x:is>
          <x:t xml:space="preserve">MOD-0141</x:t>
        </x:is>
      </x:c>
      <x:c r="B142" s="9" t="inlineStr">
        <x:is>
          <x:t xml:space="preserve">EMP-029</x:t>
        </x:is>
      </x:c>
      <x:c r="C142" s="9" t="inlineStr">
        <x:is>
          <x:t xml:space="preserve">Loncomilla 48</x:t>
        </x:is>
      </x:c>
      <x:c r="D142" s="9" t="inlineStr">
        <x:is>
          <x:t xml:space="preserve">Loncomilla</x:t>
        </x:is>
      </x:c>
      <x:c r="E142" s="9" t="inlineStr">
        <x:is>
          <x:t xml:space="preserve">Valle</x:t>
        </x:is>
      </x:c>
      <x:c r="F142" s="9" t="inlineStr">
        <x:is>
          <x:t xml:space="preserve">Sí</x:t>
        </x:is>
      </x:c>
      <x:c r="G142" s="9" t="inlineStr">
        <x:is>
          <x:t xml:space="preserve">CONTAINER</x:t>
        </x:is>
      </x:c>
      <x:c r="H142" s="15" t="n">
        <x:v>48</x:v>
      </x:c>
      <x:c r="I142" s="9" t="n">
        <x:v>2</x:v>
      </x:c>
      <x:c r="J142" s="9" t="n">
        <x:v>1</x:v>
      </x:c>
      <x:c r="K142" s="9" t="n">
        <x:v>1</x:v>
      </x:c>
      <x:c r="L142" s="9" t="n">
        <x:v>2</x:v>
      </x:c>
      <x:c r="M142" s="12" t="n">
        <x:v>2.4</x:v>
      </x:c>
      <x:c r="N142" s="9" t="inlineStr">
        <x:is>
          <x:t xml:space="preserve">Contenedor marítimo acondicionado</x:t>
        </x:is>
      </x:c>
      <x:c r="O142" s="10" t="inlineStr">
        <x:is>
          <x:t xml:space="preserve">Estructura container + subestructura interior + revestimiento</x:t>
        </x:is>
      </x:c>
      <x:c r="P142" s="15" t="n">
        <x:v>90</x:v>
      </x:c>
      <x:c r="Q142" s="9" t="inlineStr">
        <x:is>
          <x:t xml:space="preserve">Poliuretano proyectado o EPS/Aislapol 40-60 mm</x:t>
        </x:is>
      </x:c>
      <x:c r="R142" s="15" t="n">
        <x:v>40</x:v>
      </x:c>
      <x:c r="S142" s="10" t="inlineStr">
        <x:is>
          <x:t xml:space="preserve">Cubierta metálica container + sobretecho ventilado opcional</x:t>
        </x:is>
      </x:c>
      <x:c r="T142" s="15" t="n">
        <x:v>120</x:v>
      </x:c>
      <x:c r="U142" s="10" t="inlineStr">
        <x:is>
          <x:t xml:space="preserve">Poliuretano / EPS + barrera anticondensación</x:t>
        </x:is>
      </x:c>
      <x:c r="V142" s="9" t="inlineStr">
        <x:is>
          <x:t xml:space="preserve">Piso terciado 18 mm o base original acondicionada + vinílico</x:t>
        </x:is>
      </x:c>
      <x:c r="W142" s="10" t="inlineStr">
        <x:is>
          <x:t xml:space="preserve">Aislación bajo piso 40-80 mm</x:t>
        </x:is>
      </x:c>
      <x:c r="X142" s="9" t="inlineStr">
        <x:is>
          <x:t xml:space="preserve">PVC termopanel</x:t>
        </x:is>
      </x:c>
      <x:c r="Y142" s="9" t="inlineStr">
        <x:is>
          <x:t xml:space="preserve">Acero galvanizado pintado</x:t>
        </x:is>
      </x:c>
      <x:c r="Z142" s="9" t="inlineStr">
        <x:is>
          <x:t xml:space="preserve">Yeso cartón</x:t>
        </x:is>
      </x:c>
      <x:c r="AA142" s="9" t="inlineStr">
        <x:is>
          <x:t xml:space="preserve">Radier</x:t>
        </x:is>
      </x:c>
      <x:c r="AB142" s="15" t="n">
        <x:v>3</x:v>
      </x:c>
      <x:c r="AC142" s="15" t="n">
        <x:v>7</x:v>
      </x:c>
      <x:c r="AD142" s="9" t="inlineStr">
        <x:is>
          <x:t xml:space="preserve">Primera vivienda</x:t>
        </x:is>
      </x:c>
      <x:c r="AE142" s="9" t="inlineStr">
        <x:is>
          <x:t xml:space="preserve">Centro-sur templado lluvioso</x:t>
        </x:is>
      </x:c>
      <x:c r="AF142" s="10" t="inlineStr">
        <x:is>
          <x:t xml:space="preserve">Criterios de aislación, ventilación y tratamiento anticorrosivo (referencial)</x:t>
        </x:is>
      </x:c>
      <x:c r="AG142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42" s="10" t="inlineStr">
        <x:is>
          <x:t xml:space="preserve">Estructura: Módulo habitacional de acero galvanizado / corten; muros Estructura container + subestructura interior + revestimiento de 90 mm con aislación Poliuretano proyectado o EPS/Aislapol 40-60 mm (40 mm); cubierta Cubierta metálica container + sobretecho ventilado opcional de 120 mm; ventanas Aluminio termopanel; revestimiento exterior Acero galvanizado pintado; interior Madera pintada; fundación sugerida Pilotes metálicos.</x:t>
        </x:is>
      </x:c>
    </x:row>
    <x:row r="143" ht="32" customHeight="1">
      <x:c r="A143" s="9" t="inlineStr">
        <x:is>
          <x:t xml:space="preserve">MOD-0142</x:t>
        </x:is>
      </x:c>
      <x:c r="B143" s="9" t="inlineStr">
        <x:is>
          <x:t xml:space="preserve">EMP-029</x:t>
        </x:is>
      </x:c>
      <x:c r="C143" s="9" t="inlineStr">
        <x:is>
          <x:t xml:space="preserve">Cautín 80</x:t>
        </x:is>
      </x:c>
      <x:c r="D143" s="9" t="inlineStr">
        <x:is>
          <x:t xml:space="preserve">Cautín</x:t>
        </x:is>
      </x:c>
      <x:c r="E143" s="9" t="inlineStr">
        <x:is>
          <x:t xml:space="preserve">Lago</x:t>
        </x:is>
      </x:c>
      <x:c r="F143" s="9" t="inlineStr">
        <x:is>
          <x:t xml:space="preserve">Sí</x:t>
        </x:is>
      </x:c>
      <x:c r="G143" s="9" t="inlineStr">
        <x:is>
          <x:t xml:space="preserve">CONTAINER</x:t>
        </x:is>
      </x:c>
      <x:c r="H143" s="15" t="n">
        <x:v>80</x:v>
      </x:c>
      <x:c r="I143" s="9" t="n">
        <x:v>3</x:v>
      </x:c>
      <x:c r="J143" s="9" t="n">
        <x:v>2</x:v>
      </x:c>
      <x:c r="K143" s="9" t="n">
        <x:v>1</x:v>
      </x:c>
      <x:c r="L143" s="9" t="n">
        <x:v>2</x:v>
      </x:c>
      <x:c r="M143" s="12" t="n">
        <x:v>2.35</x:v>
      </x:c>
      <x:c r="N143" s="9" t="inlineStr">
        <x:is>
          <x:t xml:space="preserve">Módulo habitacional de acero galvanizado / corten</x:t>
        </x:is>
      </x:c>
      <x:c r="O143" s="10" t="inlineStr">
        <x:is>
          <x:t xml:space="preserve">Estructura container + subestructura interior + revestimiento</x:t>
        </x:is>
      </x:c>
      <x:c r="P143" s="15" t="n">
        <x:v>110</x:v>
      </x:c>
      <x:c r="Q143" s="9" t="inlineStr">
        <x:is>
          <x:t xml:space="preserve">Poliuretano proyectado o EPS/Aislapol 40-60 mm</x:t>
        </x:is>
      </x:c>
      <x:c r="R143" s="15" t="n">
        <x:v>50</x:v>
      </x:c>
      <x:c r="S143" s="10" t="inlineStr">
        <x:is>
          <x:t xml:space="preserve">Cubierta metálica container + sobretecho ventilado opcional</x:t>
        </x:is>
      </x:c>
      <x:c r="T143" s="15" t="n">
        <x:v>80</x:v>
      </x:c>
      <x:c r="U143" s="10" t="inlineStr">
        <x:is>
          <x:t xml:space="preserve">Poliuretano / EPS + barrera anticondensación</x:t>
        </x:is>
      </x:c>
      <x:c r="V143" s="9" t="inlineStr">
        <x:is>
          <x:t xml:space="preserve">Piso terciado 18 mm o base original acondicionada + vinílico</x:t>
        </x:is>
      </x:c>
      <x:c r="W143" s="10" t="inlineStr">
        <x:is>
          <x:t xml:space="preserve">Aislación bajo piso 40-80 mm</x:t>
        </x:is>
      </x:c>
      <x:c r="X143" s="9" t="inlineStr">
        <x:is>
          <x:t xml:space="preserve">PVC termopanel</x:t>
        </x:is>
      </x:c>
      <x:c r="Y143" s="9" t="inlineStr">
        <x:is>
          <x:t xml:space="preserve">Acero galvanizado pintado</x:t>
        </x:is>
      </x:c>
      <x:c r="Z143" s="9" t="inlineStr">
        <x:is>
          <x:t xml:space="preserve">Madera pintada</x:t>
        </x:is>
      </x:c>
      <x:c r="AA143" s="9" t="inlineStr">
        <x:is>
          <x:t xml:space="preserve">Dados de hormigón</x:t>
        </x:is>
      </x:c>
      <x:c r="AB143" s="15" t="n">
        <x:v>3</x:v>
      </x:c>
      <x:c r="AC143" s="15" t="n">
        <x:v>7</x:v>
      </x:c>
      <x:c r="AD143" s="9" t="inlineStr">
        <x:is>
          <x:t xml:space="preserve">Primera vivienda</x:t>
        </x:is>
      </x:c>
      <x:c r="AE143" s="9" t="inlineStr">
        <x:is>
          <x:t xml:space="preserve">Centro-sur templado lluvioso</x:t>
        </x:is>
      </x:c>
      <x:c r="AF143" s="10" t="inlineStr">
        <x:is>
          <x:t xml:space="preserve">Criterios de aislación, ventilación y tratamiento anticorrosivo (referencial)</x:t>
        </x:is>
      </x:c>
      <x:c r="AG143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43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(50 mm); cubierta Cubierta metálica container + sobretecho ventilado opcional de 80 mm; ventanas PVC termopanel; revestimiento exterior Acero galvanizado pintado; interior Yeso cartón; fundación sugerida Dados de hormigón.</x:t>
        </x:is>
      </x:c>
    </x:row>
    <x:row r="144" ht="32" customHeight="1">
      <x:c r="A144" s="9" t="inlineStr">
        <x:is>
          <x:t xml:space="preserve">MOD-0143</x:t>
        </x:is>
      </x:c>
      <x:c r="B144" s="9" t="inlineStr">
        <x:is>
          <x:t xml:space="preserve">EMP-029</x:t>
        </x:is>
      </x:c>
      <x:c r="C144" s="9" t="inlineStr">
        <x:is>
          <x:t xml:space="preserve">Malleco 96</x:t>
        </x:is>
      </x:c>
      <x:c r="D144" s="9" t="inlineStr">
        <x:is>
          <x:t xml:space="preserve">Malleco</x:t>
        </x:is>
      </x:c>
      <x:c r="E144" s="9" t="inlineStr">
        <x:is>
          <x:t xml:space="preserve">Río</x:t>
        </x:is>
      </x:c>
      <x:c r="F144" s="9" t="inlineStr">
        <x:is>
          <x:t xml:space="preserve">Sí</x:t>
        </x:is>
      </x:c>
      <x:c r="G144" s="9" t="inlineStr">
        <x:is>
          <x:t xml:space="preserve">HYBRID_MODULAR</x:t>
        </x:is>
      </x:c>
      <x:c r="H144" s="15" t="n">
        <x:v>96</x:v>
      </x:c>
      <x:c r="I144" s="9" t="n">
        <x:v>3</x:v>
      </x:c>
      <x:c r="J144" s="9" t="n">
        <x:v>2</x:v>
      </x:c>
      <x:c r="K144" s="9" t="n">
        <x:v>1</x:v>
      </x:c>
      <x:c r="L144" s="9" t="n">
        <x:v>3</x:v>
      </x:c>
      <x:c r="M144" s="12" t="n">
        <x:v>2.5</x:v>
      </x:c>
      <x:c r="N144" s="9" t="inlineStr">
        <x:is>
          <x:t xml:space="preserve">Módulos de acero + paneles SIP</x:t>
        </x:is>
      </x:c>
      <x:c r="O144" s="10" t="inlineStr">
        <x:is>
          <x:t xml:space="preserve">Acero galvanizado o madera laminada + panel SIP MgO/OSB</x:t>
        </x:is>
      </x:c>
      <x:c r="P144" s="15" t="n">
        <x:v>160</x:v>
      </x:c>
      <x:c r="Q144" s="9" t="inlineStr">
        <x:is>
          <x:t xml:space="preserve">Lana mineral 75-100 mm o EPS integrado</x:t>
        </x:is>
      </x:c>
      <x:c r="R144" s="15" t="n">
        <x:v>100</x:v>
      </x:c>
      <x:c r="S144" s="10" t="inlineStr">
        <x:is>
          <x:t xml:space="preserve">Módulo volumétrico con cubierta panelizada</x:t>
        </x:is>
      </x:c>
      <x:c r="T144" s="15" t="n">
        <x:v>160</x:v>
      </x:c>
      <x:c r="U144" s="10" t="inlineStr">
        <x:is>
          <x:t xml:space="preserve">Lana mineral / EPS / barrera vapor</x:t>
        </x:is>
      </x:c>
      <x:c r="V144" s="9" t="inlineStr">
        <x:is>
          <x:t xml:space="preserve">Bastidor metálico o madera laminada</x:t>
        </x:is>
      </x:c>
      <x:c r="W144" s="10" t="inlineStr">
        <x:is>
          <x:t xml:space="preserve">Lana mineral 80-100 mm + fibrocemento</x:t>
        </x:is>
      </x:c>
      <x:c r="X144" s="9" t="inlineStr">
        <x:is>
          <x:t xml:space="preserve">PVC termopanel</x:t>
        </x:is>
      </x:c>
      <x:c r="Y144" s="9" t="inlineStr">
        <x:is>
          <x:t xml:space="preserve">Madera tratada</x:t>
        </x:is>
      </x:c>
      <x:c r="Z144" s="9" t="inlineStr">
        <x:is>
          <x:t xml:space="preserve">Yeso cartón pintado</x:t>
        </x:is>
      </x:c>
      <x:c r="AA144" s="9" t="inlineStr">
        <x:is>
          <x:t xml:space="preserve">Pilotes ajustables</x:t>
        </x:is>
      </x:c>
      <x:c r="AB144" s="15" t="n">
        <x:v>6</x:v>
      </x:c>
      <x:c r="AC144" s="15" t="n">
        <x:v>7</x:v>
      </x:c>
      <x:c r="AD144" s="9" t="inlineStr">
        <x:is>
          <x:t xml:space="preserve">Parcela</x:t>
        </x:is>
      </x:c>
      <x:c r="AE144" s="9" t="inlineStr">
        <x:is>
          <x:t xml:space="preserve">Centro-sur templado lluvioso</x:t>
        </x:is>
      </x:c>
      <x:c r="AF144" s="10" t="inlineStr">
        <x:is>
          <x:t xml:space="preserve">Criterios de prefabricación modular y coordinación BIM (referencial)</x:t>
        </x:is>
      </x:c>
      <x:c r="AG144" s="10" t="inlineStr">
        <x:is>
          <x:t xml:space="preserve">https://modul.cl/construccion-de-casas-prefabricadas-modulares/ | https://tecnofasthome.cl/casas-modulares/</x:t>
        </x:is>
      </x:c>
      <x:c r="AH144" s="10" t="inlineStr">
        <x:is>
          <x:t xml:space="preserve">Estructura: Estructura híbrida acero-madera panelizada; muros Acero galvanizado o madera laminada + panel SIP MgO/OSB de 160 mm con aislación Lana mineral 75-100 mm o EPS integrado (100 mm); cubierta Módulo volumétrico con cubierta panelizada de 160 mm; ventanas Aluminio termopanel; revestimiento exterior Madera tratada; interior Yeso cartón RH; fundación sugerida Radier.</x:t>
        </x:is>
      </x:c>
    </x:row>
    <x:row r="145" ht="32" customHeight="1">
      <x:c r="A145" s="9" t="inlineStr">
        <x:is>
          <x:t xml:space="preserve">MOD-0144</x:t>
        </x:is>
      </x:c>
      <x:c r="B145" s="9" t="inlineStr">
        <x:is>
          <x:t xml:space="preserve">EMP-029</x:t>
        </x:is>
      </x:c>
      <x:c r="C145" s="9" t="inlineStr">
        <x:is>
          <x:t xml:space="preserve">Allipén 120</x:t>
        </x:is>
      </x:c>
      <x:c r="D145" s="9" t="inlineStr">
        <x:is>
          <x:t xml:space="preserve">Allipén</x:t>
        </x:is>
      </x:c>
      <x:c r="E145" s="9" t="inlineStr">
        <x:is>
          <x:t xml:space="preserve">Ciudad</x:t>
        </x:is>
      </x:c>
      <x:c r="F145" s="9" t="inlineStr">
        <x:is>
          <x:t xml:space="preserve">Sí</x:t>
        </x:is>
      </x:c>
      <x:c r="G145" s="9" t="inlineStr">
        <x:is>
          <x:t xml:space="preserve">SIP</x:t>
        </x:is>
      </x:c>
      <x:c r="H145" s="15" t="n">
        <x:v>120</x:v>
      </x:c>
      <x:c r="I145" s="9" t="n">
        <x:v>3</x:v>
      </x:c>
      <x:c r="J145" s="9" t="n">
        <x:v>2</x:v>
      </x:c>
      <x:c r="K145" s="9" t="n">
        <x:v>1</x:v>
      </x:c>
      <x:c r="L145" s="9" t="n">
        <x:v>3</x:v>
      </x:c>
      <x:c r="M145" s="12" t="n">
        <x:v>2.5</x:v>
      </x:c>
      <x:c r="N145" s="9" t="inlineStr">
        <x:is>
          <x:t xml:space="preserve">Panel SIP estructural OSB/EPS/OSB</x:t>
        </x:is>
      </x:c>
      <x:c r="O145" s="10" t="inlineStr">
        <x:is>
          <x:t xml:space="preserve">2 placas OSB estructural + núcleo EPS alta densidad</x:t>
        </x:is>
      </x:c>
      <x:c r="P145" s="15" t="n">
        <x:v>114</x:v>
      </x:c>
      <x:c r="Q145" s="9" t="inlineStr">
        <x:is>
          <x:t xml:space="preserve">EPS alta densidad 15 kg/m³</x:t>
        </x:is>
      </x:c>
      <x:c r="R145" s="15" t="n">
        <x:v>92</x:v>
      </x:c>
      <x:c r="S145" s="10" t="inlineStr">
        <x:is>
          <x:t xml:space="preserve">Panel SIP de cubierta + membrana hidrófuga + hojalatería</x:t>
        </x:is>
      </x:c>
      <x:c r="T145" s="15" t="n">
        <x:v>114</x:v>
      </x:c>
      <x:c r="U145" s="10" t="inlineStr">
        <x:is>
          <x:t xml:space="preserve">EPS integrado + sellos PU</x:t>
        </x:is>
      </x:c>
      <x:c r="V145" s="9" t="inlineStr">
        <x:is>
          <x:t xml:space="preserve">Base entramado madera o radier con barrera de humedad</x:t>
        </x:is>
      </x:c>
      <x:c r="W145" s="10" t="inlineStr">
        <x:is>
          <x:t xml:space="preserve">Aislación bajo piso PET o lana mineral 50-100 mm</x:t>
        </x:is>
      </x:c>
      <x:c r="X145" s="9" t="inlineStr">
        <x:is>
          <x:t xml:space="preserve">Aluminio con termopanel</x:t>
        </x:is>
      </x:c>
      <x:c r="Y145" s="9" t="inlineStr">
        <x:is>
          <x:t xml:space="preserve">Smart Panel</x:t>
        </x:is>
      </x:c>
      <x:c r="Z145" s="9" t="inlineStr">
        <x:is>
          <x:t xml:space="preserve">Yeso cartón RH en zonas húmedas</x:t>
        </x:is>
      </x:c>
      <x:c r="AA145" s="9" t="inlineStr">
        <x:is>
          <x:t xml:space="preserve">Pilotes metálicos</x:t>
        </x:is>
      </x:c>
      <x:c r="AB145" s="15" t="n">
        <x:v>3</x:v>
      </x:c>
      <x:c r="AC145" s="15" t="n">
        <x:v>9</x:v>
      </x:c>
      <x:c r="AD145" s="9" t="inlineStr">
        <x:is>
          <x:t xml:space="preserve">Primera vivienda</x:t>
        </x:is>
      </x:c>
      <x:c r="AE145" s="9" t="inlineStr">
        <x:is>
          <x:t xml:space="preserve">Centro-sur templado lluvioso</x:t>
        </x:is>
      </x:c>
      <x:c r="AF145" s="10" t="inlineStr">
        <x:is>
          <x:t xml:space="preserve">NCh3393:2016 (referencial para paneles SIP)</x:t>
        </x:is>
      </x:c>
      <x:c r="AG145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45" s="10" t="inlineStr">
        <x:is>
          <x:t xml:space="preserve">Estructura: Panel SIP estructural OSB/EPS/OSB; muros 2 placas OSB estructural + núcleo EPS alta densidad de 114 mm con aislación EPS alta densidad 15 kg/m³ (92 mm); cubierta Panel SIP de cubierta + membrana hidrófuga + hojalatería de 114 mm; ventanas Aluminio con termopanel; revestimiento exterior Smart Panel; interior Yeso cartón pintado; fundación sugerida Radier afinado.</x:t>
        </x:is>
      </x:c>
    </x:row>
    <x:row r="146" ht="32" customHeight="1">
      <x:c r="A146" s="9" t="inlineStr">
        <x:is>
          <x:t xml:space="preserve">MOD-0145</x:t>
        </x:is>
      </x:c>
      <x:c r="B146" s="9" t="inlineStr">
        <x:is>
          <x:t xml:space="preserve">EMP-029</x:t>
        </x:is>
      </x:c>
      <x:c r="C146" s="9" t="inlineStr">
        <x:is>
          <x:t xml:space="preserve">Pilmaiquén 176</x:t>
        </x:is>
      </x:c>
      <x:c r="D146" s="9" t="inlineStr">
        <x:is>
          <x:t xml:space="preserve">Pilmaiquén</x:t>
        </x:is>
      </x:c>
      <x:c r="E146" s="9" t="inlineStr">
        <x:is>
          <x:t xml:space="preserve">Río</x:t>
        </x:is>
      </x:c>
      <x:c r="F146" s="9" t="inlineStr">
        <x:is>
          <x:t xml:space="preserve">Sí</x:t>
        </x:is>
      </x:c>
      <x:c r="G146" s="9" t="inlineStr">
        <x:is>
          <x:t xml:space="preserve">STEEL_FRAME</x:t>
        </x:is>
      </x:c>
      <x:c r="H146" s="15" t="n">
        <x:v>176</x:v>
      </x:c>
      <x:c r="I146" s="9" t="n">
        <x:v>4</x:v>
      </x:c>
      <x:c r="J146" s="9" t="n">
        <x:v>3</x:v>
      </x:c>
      <x:c r="K146" s="9" t="n">
        <x:v>2</x:v>
      </x:c>
      <x:c r="L146" s="9" t="n">
        <x:v>4</x:v>
      </x:c>
      <x:c r="M146" s="12" t="n">
        <x:v>2.5</x:v>
      </x:c>
      <x:c r="N146" s="9" t="inlineStr">
        <x:is>
          <x:t xml:space="preserve">Panelizado steel frame industrializado</x:t>
        </x:is>
      </x:c>
      <x:c r="O146" s="10" t="inlineStr">
        <x:is>
          <x:t xml:space="preserve">Acero galvanizado + placa OSB/fibrocemento + cámara técnica</x:t>
        </x:is>
      </x:c>
      <x:c r="P146" s="15" t="n">
        <x:v>110</x:v>
      </x:c>
      <x:c r="Q146" s="9" t="inlineStr">
        <x:is>
          <x:t xml:space="preserve">Lana mineral o lana de roca / PET / EPS según zona térmica</x:t>
        </x:is>
      </x:c>
      <x:c r="R146" s="15" t="n">
        <x:v>80</x:v>
      </x:c>
      <x:c r="S146" s="10" t="inlineStr">
        <x:is>
          <x:t xml:space="preserve">Cerchas o paneles steel frame + cubierta metálica</x:t>
        </x:is>
      </x:c>
      <x:c r="T146" s="15" t="n">
        <x:v>150</x:v>
      </x:c>
      <x:c r="U146" s="10" t="inlineStr">
        <x:is>
          <x:t xml:space="preserve">Lana mineral / lana de roca + barrera de vapor</x:t>
        </x:is>
      </x:c>
      <x:c r="V146" s="9" t="inlineStr">
        <x:is>
          <x:t xml:space="preserve">Envigado metálico o plataforma estructural</x:t>
        </x:is>
      </x:c>
      <x:c r="W146" s="10" t="inlineStr">
        <x:is>
          <x:t xml:space="preserve">Lana mineral 50-100 mm + placas estructurales</x:t>
        </x:is>
      </x:c>
      <x:c r="X146" s="9" t="inlineStr">
        <x:is>
          <x:t xml:space="preserve">PVC termopanel</x:t>
        </x:is>
      </x:c>
      <x:c r="Y146" s="9" t="inlineStr">
        <x:is>
          <x:t xml:space="preserve">Siding fibrocemento</x:t>
        </x:is>
      </x:c>
      <x:c r="Z146" s="9" t="inlineStr">
        <x:is>
          <x:t xml:space="preserve">Yeso cartón RF</x:t>
        </x:is>
      </x:c>
      <x:c r="AA146" s="9" t="inlineStr">
        <x:is>
          <x:t xml:space="preserve">Radier reforzado</x:t>
        </x:is>
      </x:c>
      <x:c r="AB146" s="15" t="n">
        <x:v>8</x:v>
      </x:c>
      <x:c r="AC146" s="15" t="n">
        <x:v>14</x:v>
      </x:c>
      <x:c r="AD146" s="9" t="inlineStr">
        <x:is>
          <x:t xml:space="preserve">Loteo habitacional</x:t>
        </x:is>
      </x:c>
      <x:c r="AE146" s="9" t="inlineStr">
        <x:is>
          <x:t xml:space="preserve">Centro-sur templado lluvioso</x:t>
        </x:is>
      </x:c>
      <x:c r="AF146" s="10" t="inlineStr">
        <x:is>
          <x:t xml:space="preserve">Criterio térmico referencial OGUC / reglamentación térmica vigente</x:t>
        </x:is>
      </x:c>
      <x:c r="AG146" s="10" t="inlineStr">
        <x:is>
          <x:t xml:space="preserve">https://www.steelframe.cl/ | https://vhaceros.cl/blog/steel-framing-principios-estructurales-y-ventajas-en-la-construccion-chilena/</x:t>
        </x:is>
      </x:c>
      <x:c r="AH146" s="10" t="inlineStr">
        <x:is>
          <x:t xml:space="preserve">Estructura: Panelizado steel frame industrializado; muros Acero galvanizado + placa OSB/fibrocemento + cámara técnica de 110 mm con aislación Lana mineral o lana de roca / PET / EPS según zona térmica (80 mm); cubierta Cerchas o paneles steel frame + cubierta metálica de 150 mm; ventanas Aluminio RPT termopanel; revestimiento exterior Plancha metálica; interior Yeso cartón; fundación sugerida Radier reforzado.</x:t>
        </x:is>
      </x:c>
    </x:row>
    <x:row r="147" ht="32" customHeight="1">
      <x:c r="A147" s="9" t="inlineStr">
        <x:is>
          <x:t xml:space="preserve">MOD-0146</x:t>
        </x:is>
      </x:c>
      <x:c r="B147" s="9" t="inlineStr">
        <x:is>
          <x:t xml:space="preserve">EMP-030</x:t>
        </x:is>
      </x:c>
      <x:c r="C147" s="9" t="inlineStr">
        <x:is>
          <x:t xml:space="preserve">Cruces 36</x:t>
        </x:is>
      </x:c>
      <x:c r="D147" s="9" t="inlineStr">
        <x:is>
          <x:t xml:space="preserve">Cruces</x:t>
        </x:is>
      </x:c>
      <x:c r="E147" s="9" t="inlineStr">
        <x:is>
          <x:t xml:space="preserve">Comuna</x:t>
        </x:is>
      </x:c>
      <x:c r="F147" s="9" t="inlineStr">
        <x:is>
          <x:t xml:space="preserve">Sí</x:t>
        </x:is>
      </x:c>
      <x:c r="G147" s="9" t="inlineStr">
        <x:is>
          <x:t xml:space="preserve">STEEL_FRAME</x:t>
        </x:is>
      </x:c>
      <x:c r="H147" s="15" t="n">
        <x:v>36</x:v>
      </x:c>
      <x:c r="I147" s="9" t="n">
        <x:v>1</x:v>
      </x:c>
      <x:c r="J147" s="9" t="n">
        <x:v>1</x:v>
      </x:c>
      <x:c r="K147" s="9" t="n">
        <x:v>1</x:v>
      </x:c>
      <x:c r="L147" s="9" t="n">
        <x:v>1</x:v>
      </x:c>
      <x:c r="M147" s="12" t="n">
        <x:v>2.35</x:v>
      </x:c>
      <x:c r="N147" s="9" t="inlineStr">
        <x:is>
          <x:t xml:space="preserve">Panelizado steel frame industrializado</x:t>
        </x:is>
      </x:c>
      <x:c r="O147" s="10" t="inlineStr">
        <x:is>
          <x:t xml:space="preserve">Acero galvanizado + placa OSB/fibrocemento + cámara técnica</x:t>
        </x:is>
      </x:c>
      <x:c r="P147" s="15" t="n">
        <x:v>140</x:v>
      </x:c>
      <x:c r="Q147" s="9" t="inlineStr">
        <x:is>
          <x:t xml:space="preserve">Lana mineral o lana de roca / PET / EPS según zona térmica</x:t>
        </x:is>
      </x:c>
      <x:c r="R147" s="15" t="n">
        <x:v>100</x:v>
      </x:c>
      <x:c r="S147" s="10" t="inlineStr">
        <x:is>
          <x:t xml:space="preserve">Cerchas o paneles steel frame + cubierta metálica</x:t>
        </x:is>
      </x:c>
      <x:c r="T147" s="15" t="n">
        <x:v>120</x:v>
      </x:c>
      <x:c r="U147" s="10" t="inlineStr">
        <x:is>
          <x:t xml:space="preserve">Lana mineral / lana de roca + barrera de vapor</x:t>
        </x:is>
      </x:c>
      <x:c r="V147" s="9" t="inlineStr">
        <x:is>
          <x:t xml:space="preserve">Envigado metálico o plataforma estructural</x:t>
        </x:is>
      </x:c>
      <x:c r="W147" s="10" t="inlineStr">
        <x:is>
          <x:t xml:space="preserve">Lana mineral 50-100 mm + placas estructurales</x:t>
        </x:is>
      </x:c>
      <x:c r="X147" s="9" t="inlineStr">
        <x:is>
          <x:t xml:space="preserve">Aluminio RPT termopanel</x:t>
        </x:is>
      </x:c>
      <x:c r="Y147" s="9" t="inlineStr">
        <x:is>
          <x:t xml:space="preserve">Plancha metálica</x:t>
        </x:is>
      </x:c>
      <x:c r="Z147" s="9" t="inlineStr">
        <x:is>
          <x:t xml:space="preserve">Yeso cartón RF</x:t>
        </x:is>
      </x:c>
      <x:c r="AA147" s="9" t="inlineStr">
        <x:is>
          <x:t xml:space="preserve">Vigas de fundación y radier</x:t>
        </x:is>
      </x:c>
      <x:c r="AB147" s="15" t="n">
        <x:v>4</x:v>
      </x:c>
      <x:c r="AC147" s="15" t="n">
        <x:v>6</x:v>
      </x:c>
      <x:c r="AD147" s="9" t="inlineStr">
        <x:is>
          <x:t xml:space="preserve">Parcela</x:t>
        </x:is>
      </x:c>
      <x:c r="AE147" s="9" t="inlineStr">
        <x:is>
          <x:t xml:space="preserve">Centro-sur templado lluvioso</x:t>
        </x:is>
      </x:c>
      <x:c r="AF147" s="10" t="inlineStr">
        <x:is>
          <x:t xml:space="preserve">Criterio térmico referencial OGUC / reglamentación térmica vigente</x:t>
        </x:is>
      </x:c>
      <x:c r="AG147" s="10" t="inlineStr">
        <x:is>
          <x:t xml:space="preserve">https://www.steelframe.cl/ | https://vhaceros.cl/blog/steel-framing-principios-estructurales-y-ventajas-en-la-construccion-chilena/</x:t>
        </x:is>
      </x:c>
      <x:c r="AH147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120 mm; ventanas PVC termopanel; revestimiento exterior Estuco sobre placa cementicia; interior Yeso cartón RF; fundación sugerida Radier reforzado.</x:t>
        </x:is>
      </x:c>
    </x:row>
    <x:row r="148" ht="32" customHeight="1">
      <x:c r="A148" s="9" t="inlineStr">
        <x:is>
          <x:t xml:space="preserve">MOD-0147</x:t>
        </x:is>
      </x:c>
      <x:c r="B148" s="9" t="inlineStr">
        <x:is>
          <x:t xml:space="preserve">EMP-030</x:t>
        </x:is>
      </x:c>
      <x:c r="C148" s="9" t="inlineStr">
        <x:is>
          <x:t xml:space="preserve">Cisnes 72</x:t>
        </x:is>
      </x:c>
      <x:c r="D148" s="9" t="inlineStr">
        <x:is>
          <x:t xml:space="preserve">Cisnes</x:t>
        </x:is>
      </x:c>
      <x:c r="E148" s="9" t="inlineStr">
        <x:is>
          <x:t xml:space="preserve">Comuna</x:t>
        </x:is>
      </x:c>
      <x:c r="F148" s="9" t="inlineStr">
        <x:is>
          <x:t xml:space="preserve">Sí</x:t>
        </x:is>
      </x:c>
      <x:c r="G148" s="9" t="inlineStr">
        <x:is>
          <x:t xml:space="preserve">STEEL_FRAME</x:t>
        </x:is>
      </x:c>
      <x:c r="H148" s="15" t="n">
        <x:v>72</x:v>
      </x:c>
      <x:c r="I148" s="9" t="n">
        <x:v>2</x:v>
      </x:c>
      <x:c r="J148" s="9" t="n">
        <x:v>2</x:v>
      </x:c>
      <x:c r="K148" s="9" t="n">
        <x:v>1</x:v>
      </x:c>
      <x:c r="L148" s="9" t="n">
        <x:v>2</x:v>
      </x:c>
      <x:c r="M148" s="12" t="n">
        <x:v>2.45</x:v>
      </x:c>
      <x:c r="N148" s="9" t="inlineStr">
        <x:is>
          <x:t xml:space="preserve">Perfilería de acero galvanizado liviano</x:t>
        </x:is>
      </x:c>
      <x:c r="O148" s="10" t="inlineStr">
        <x:is>
          <x:t xml:space="preserve">Acero galvanizado + placa OSB/fibrocemento + cámara técnica</x:t>
        </x:is>
      </x:c>
      <x:c r="P148" s="15" t="n">
        <x:v>160</x:v>
      </x:c>
      <x:c r="Q148" s="9" t="inlineStr">
        <x:is>
          <x:t xml:space="preserve">Lana mineral o lana de roca / PET / EPS según zona térmica</x:t>
        </x:is>
      </x:c>
      <x:c r="R148" s="15" t="n">
        <x:v>80</x:v>
      </x:c>
      <x:c r="S148" s="10" t="inlineStr">
        <x:is>
          <x:t xml:space="preserve">Cerchas o paneles steel frame + cubierta metálica</x:t>
        </x:is>
      </x:c>
      <x:c r="T148" s="15" t="n">
        <x:v>150</x:v>
      </x:c>
      <x:c r="U148" s="10" t="inlineStr">
        <x:is>
          <x:t xml:space="preserve">Lana mineral / lana de roca + barrera de vapor</x:t>
        </x:is>
      </x:c>
      <x:c r="V148" s="9" t="inlineStr">
        <x:is>
          <x:t xml:space="preserve">Envigado metálico o plataforma estructural</x:t>
        </x:is>
      </x:c>
      <x:c r="W148" s="10" t="inlineStr">
        <x:is>
          <x:t xml:space="preserve">Lana mineral 50-100 mm + placas estructurales</x:t>
        </x:is>
      </x:c>
      <x:c r="X148" s="9" t="inlineStr">
        <x:is>
          <x:t xml:space="preserve">Aluminio RPT termopanel</x:t>
        </x:is>
      </x:c>
      <x:c r="Y148" s="9" t="inlineStr">
        <x:is>
          <x:t xml:space="preserve">Estuco sobre placa cementicia</x:t>
        </x:is>
      </x:c>
      <x:c r="Z148" s="9" t="inlineStr">
        <x:is>
          <x:t xml:space="preserve">Yeso cartón</x:t>
        </x:is>
      </x:c>
      <x:c r="AA148" s="9" t="inlineStr">
        <x:is>
          <x:t xml:space="preserve">Radier reforzado</x:t>
        </x:is>
      </x:c>
      <x:c r="AB148" s="15" t="n">
        <x:v>7</x:v>
      </x:c>
      <x:c r="AC148" s="15" t="n">
        <x:v>11</x:v>
      </x:c>
      <x:c r="AD148" s="9" t="inlineStr">
        <x:is>
          <x:t xml:space="preserve">Cabaña permanente</x:t>
        </x:is>
      </x:c>
      <x:c r="AE148" s="9" t="inlineStr">
        <x:is>
          <x:t xml:space="preserve">Centro-sur templado lluvioso</x:t>
        </x:is>
      </x:c>
      <x:c r="AF148" s="10" t="inlineStr">
        <x:is>
          <x:t xml:space="preserve">Criterio térmico referencial OGUC / reglamentación térmica vigente</x:t>
        </x:is>
      </x:c>
      <x:c r="AG148" s="10" t="inlineStr">
        <x:is>
          <x:t xml:space="preserve">https://www.steelframe.cl/ | https://vhaceros.cl/blog/steel-framing-principios-estructurales-y-ventajas-en-la-construccion-chilena/</x:t>
        </x:is>
      </x:c>
      <x:c r="AH148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(80 mm); cubierta Cerchas o paneles steel frame + cubierta metálica de 150 mm; ventanas Aluminio RPT termopanel; revestimiento exterior Siding fibrocemento; interior Yeso cartón RF; fundación sugerida Pilotes.</x:t>
        </x:is>
      </x:c>
    </x:row>
    <x:row r="149" ht="32" customHeight="1">
      <x:c r="A149" s="9" t="inlineStr">
        <x:is>
          <x:t xml:space="preserve">MOD-0148</x:t>
        </x:is>
      </x:c>
      <x:c r="B149" s="9" t="inlineStr">
        <x:is>
          <x:t xml:space="preserve">EMP-030</x:t>
        </x:is>
      </x:c>
      <x:c r="C149" s="9" t="inlineStr">
        <x:is>
          <x:t xml:space="preserve">Aysén 112</x:t>
        </x:is>
      </x:c>
      <x:c r="D149" s="9" t="inlineStr">
        <x:is>
          <x:t xml:space="preserve">Aysén</x:t>
        </x:is>
      </x:c>
      <x:c r="E149" s="9" t="inlineStr">
        <x:is>
          <x:t xml:space="preserve">Valle</x:t>
        </x:is>
      </x:c>
      <x:c r="F149" s="9" t="inlineStr">
        <x:is>
          <x:t xml:space="preserve">Sí</x:t>
        </x:is>
      </x:c>
      <x:c r="G149" s="9" t="inlineStr">
        <x:is>
          <x:t xml:space="preserve">SIP</x:t>
        </x:is>
      </x:c>
      <x:c r="H149" s="15" t="n">
        <x:v>112</x:v>
      </x:c>
      <x:c r="I149" s="9" t="n">
        <x:v>3</x:v>
      </x:c>
      <x:c r="J149" s="9" t="n">
        <x:v>2</x:v>
      </x:c>
      <x:c r="K149" s="9" t="n">
        <x:v>1</x:v>
      </x:c>
      <x:c r="L149" s="9" t="n">
        <x:v>3</x:v>
      </x:c>
      <x:c r="M149" s="12" t="n">
        <x:v>2.5</x:v>
      </x:c>
      <x:c r="N149" s="9" t="inlineStr">
        <x:is>
          <x:t xml:space="preserve">Panel SIP estructural con uniones en pino seco</x:t>
        </x:is>
      </x:c>
      <x:c r="O149" s="10" t="inlineStr">
        <x:is>
          <x:t xml:space="preserve">2 placas OSB estructural + núcleo EPS alta densidad</x:t>
        </x:is>
      </x:c>
      <x:c r="P149" s="15" t="n">
        <x:v>75</x:v>
      </x:c>
      <x:c r="Q149" s="9" t="inlineStr">
        <x:is>
          <x:t xml:space="preserve">EPS alta densidad 15 kg/m³</x:t>
        </x:is>
      </x:c>
      <x:c r="R149" s="15" t="n">
        <x:v>53</x:v>
      </x:c>
      <x:c r="S149" s="10" t="inlineStr">
        <x:is>
          <x:t xml:space="preserve">Panel SIP de cubierta + membrana hidrófuga + hojalatería</x:t>
        </x:is>
      </x:c>
      <x:c r="T149" s="15" t="n">
        <x:v>164</x:v>
      </x:c>
      <x:c r="U149" s="10" t="inlineStr">
        <x:is>
          <x:t xml:space="preserve">EPS integrado + sellos PU</x:t>
        </x:is>
      </x:c>
      <x:c r="V149" s="9" t="inlineStr">
        <x:is>
          <x:t xml:space="preserve">Base entramado madera o radier con barrera de humedad</x:t>
        </x:is>
      </x:c>
      <x:c r="W149" s="10" t="inlineStr">
        <x:is>
          <x:t xml:space="preserve">Aislación bajo piso PET o lana mineral 50-100 mm</x:t>
        </x:is>
      </x:c>
      <x:c r="X149" s="9" t="inlineStr">
        <x:is>
          <x:t xml:space="preserve">PVC DVH</x:t>
        </x:is>
      </x:c>
      <x:c r="Y149" s="9" t="inlineStr">
        <x:is>
          <x:t xml:space="preserve">Smart Panel</x:t>
        </x:is>
      </x:c>
      <x:c r="Z149" s="9" t="inlineStr">
        <x:is>
          <x:t xml:space="preserve">Yeso cartón RH en zonas húmedas</x:t>
        </x:is>
      </x:c>
      <x:c r="AA149" s="9" t="inlineStr">
        <x:is>
          <x:t xml:space="preserve">Fundación corrida</x:t>
        </x:is>
      </x:c>
      <x:c r="AB149" s="15" t="n">
        <x:v>5</x:v>
      </x:c>
      <x:c r="AC149" s="15" t="n">
        <x:v>12</x:v>
      </x:c>
      <x:c r="AD149" s="9" t="inlineStr">
        <x:is>
          <x:t xml:space="preserve">Primera vivienda</x:t>
        </x:is>
      </x:c>
      <x:c r="AE149" s="9" t="inlineStr">
        <x:is>
          <x:t xml:space="preserve">Centro-sur templado lluvioso</x:t>
        </x:is>
      </x:c>
      <x:c r="AF149" s="10" t="inlineStr">
        <x:is>
          <x:t xml:space="preserve">NCh3393:2016 (referencial para paneles SIP)</x:t>
        </x:is>
      </x:c>
      <x:c r="AG14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49" s="10" t="inlineStr">
        <x:is>
          <x:t xml:space="preserve">Estructura: Panel SIP estructural con uniones en pino seco; muros 2 placas OSB estructural + núcleo EPS alta densidad de 75 mm con aislación EPS alta densidad 15 kg/m³ (53 mm); cubierta Panel SIP de cubierta + membrana hidrófuga + hojalatería de 164 mm; ventanas PVC DVH; revestimiento exterior Smart Panel; interior Yeso cartón pintado; fundación sugerida Sobrecimientos y radier.</x:t>
        </x:is>
      </x:c>
    </x:row>
    <x:row r="150" ht="32" customHeight="1">
      <x:c r="A150" s="9" t="inlineStr">
        <x:is>
          <x:t xml:space="preserve">MOD-0149</x:t>
        </x:is>
      </x:c>
      <x:c r="B150" s="9" t="inlineStr">
        <x:is>
          <x:t xml:space="preserve">EMP-030</x:t>
        </x:is>
      </x:c>
      <x:c r="C150" s="9" t="inlineStr">
        <x:is>
          <x:t xml:space="preserve">Chelenko 156</x:t>
        </x:is>
      </x:c>
      <x:c r="D150" s="9" t="inlineStr">
        <x:is>
          <x:t xml:space="preserve">Chelenko</x:t>
        </x:is>
      </x:c>
      <x:c r="E150" s="9" t="inlineStr">
        <x:is>
          <x:t xml:space="preserve">Río</x:t>
        </x:is>
      </x:c>
      <x:c r="F150" s="9" t="inlineStr">
        <x:is>
          <x:t xml:space="preserve">Sí</x:t>
        </x:is>
      </x:c>
      <x:c r="G150" s="9" t="inlineStr">
        <x:is>
          <x:t xml:space="preserve">MODULAR_TIMBER</x:t>
        </x:is>
      </x:c>
      <x:c r="H150" s="15" t="n">
        <x:v>156</x:v>
      </x:c>
      <x:c r="I150" s="9" t="n">
        <x:v>4</x:v>
      </x:c>
      <x:c r="J150" s="9" t="n">
        <x:v>3</x:v>
      </x:c>
      <x:c r="K150" s="9" t="n">
        <x:v>1</x:v>
      </x:c>
      <x:c r="L150" s="9" t="n">
        <x:v>4</x:v>
      </x:c>
      <x:c r="M150" s="12" t="n">
        <x:v>2.5</x:v>
      </x:c>
      <x:c r="N150" s="9" t="inlineStr">
        <x:is>
          <x:t xml:space="preserve">Entramado ligero en pino impregnado</x:t>
        </x:is>
      </x:c>
      <x:c r="O150" s="10" t="inlineStr">
        <x:is>
          <x:t xml:space="preserve">Madera estructural + OSB / terciado + barrera hidrófuga</x:t>
        </x:is>
      </x:c>
      <x:c r="P150" s="15" t="n">
        <x:v>100</x:v>
      </x:c>
      <x:c r="Q150" s="9" t="inlineStr">
        <x:is>
          <x:t xml:space="preserve">Lana mineral / lana de vidrio / PET reciclado</x:t>
        </x:is>
      </x:c>
      <x:c r="R150" s="15" t="n">
        <x:v>60</x:v>
      </x:c>
      <x:c r="S150" s="10" t="inlineStr">
        <x:is>
          <x:t xml:space="preserve">Cercha de madera + cubierta metálica o tejuela asfáltica</x:t>
        </x:is>
      </x:c>
      <x:c r="T150" s="15" t="n">
        <x:v>150</x:v>
      </x:c>
      <x:c r="U150" s="10" t="inlineStr">
        <x:is>
          <x:t xml:space="preserve">Lana mineral 80-140 mm + membrana</x:t>
        </x:is>
      </x:c>
      <x:c r="V150" s="9" t="inlineStr">
        <x:is>
          <x:t xml:space="preserve">Plataforma de madera estructural o radier</x:t>
        </x:is>
      </x:c>
      <x:c r="W150" s="10" t="inlineStr">
        <x:is>
          <x:t xml:space="preserve">Lana mineral 50-100 mm / barrera humedad</x:t>
        </x:is>
      </x:c>
      <x:c r="X150" s="9" t="inlineStr">
        <x:is>
          <x:t xml:space="preserve">PVC termopanel</x:t>
        </x:is>
      </x:c>
      <x:c r="Y150" s="9" t="inlineStr">
        <x:is>
          <x:t xml:space="preserve">Madera tratada</x:t>
        </x:is>
      </x:c>
      <x:c r="Z150" s="9" t="inlineStr">
        <x:is>
          <x:t xml:space="preserve">MDF ranurado</x:t>
        </x:is>
      </x:c>
      <x:c r="AA150" s="9" t="inlineStr">
        <x:is>
          <x:t xml:space="preserve">Fundación corrida</x:t>
        </x:is>
      </x:c>
      <x:c r="AB150" s="15" t="n">
        <x:v>5</x:v>
      </x:c>
      <x:c r="AC150" s="15" t="n">
        <x:v>9</x:v>
      </x:c>
      <x:c r="AD150" s="9" t="inlineStr">
        <x:is>
          <x:t xml:space="preserve">Turismo / arriendo</x:t>
        </x:is>
      </x:c>
      <x:c r="AE150" s="9" t="inlineStr">
        <x:is>
          <x:t xml:space="preserve">Centro-sur templado lluvioso</x:t>
        </x:is>
      </x:c>
      <x:c r="AF150" s="10" t="inlineStr">
        <x:is>
          <x:t xml:space="preserve">Especificaciones técnicas de vivienda industrializada en madera (referencial)</x:t>
        </x:is>
      </x:c>
      <x:c r="AG150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50" s="10" t="inlineStr">
        <x:is>
          <x:t xml:space="preserve">Estructura: Entramado ligero en pino impregnado; muros Madera estructural + OSB / terciado + barrera hidrófuga de 100 mm con aislación Lana mineral / lana de vidrio / PET reciclado (60 mm); cubierta Cercha de madera + cubierta metálica o tejuela asfáltica de 150 mm; ventanas PVC termopanel; revestimiento exterior Smart Panel; interior Yeso cartón; fundación sugerida Fundación corrida.</x:t>
        </x:is>
      </x:c>
    </x:row>
    <x:row r="151" ht="32" customHeight="1">
      <x:c r="A151" s="9" t="inlineStr">
        <x:is>
          <x:t xml:space="preserve">MOD-0150</x:t>
        </x:is>
      </x:c>
      <x:c r="B151" s="9" t="inlineStr">
        <x:is>
          <x:t xml:space="preserve">EMP-030</x:t>
        </x:is>
      </x:c>
      <x:c r="C151" s="9" t="inlineStr">
        <x:is>
          <x:t xml:space="preserve">Camiña 176</x:t>
        </x:is>
      </x:c>
      <x:c r="D151" s="9" t="inlineStr">
        <x:is>
          <x:t xml:space="preserve">Camiña</x:t>
        </x:is>
      </x:c>
      <x:c r="E151" s="9" t="inlineStr">
        <x:is>
          <x:t xml:space="preserve">Volcán</x:t>
        </x:is>
      </x:c>
      <x:c r="F151" s="9" t="inlineStr">
        <x:is>
          <x:t xml:space="preserve">Sí</x:t>
        </x:is>
      </x:c>
      <x:c r="G151" s="9" t="inlineStr">
        <x:is>
          <x:t xml:space="preserve">HYBRID_MODULAR</x:t>
        </x:is>
      </x:c>
      <x:c r="H151" s="15" t="n">
        <x:v>176</x:v>
      </x:c>
      <x:c r="I151" s="9" t="n">
        <x:v>4</x:v>
      </x:c>
      <x:c r="J151" s="9" t="n">
        <x:v>3</x:v>
      </x:c>
      <x:c r="K151" s="9" t="n">
        <x:v>1</x:v>
      </x:c>
      <x:c r="L151" s="9" t="n">
        <x:v>4</x:v>
      </x:c>
      <x:c r="M151" s="12" t="n">
        <x:v>2.5</x:v>
      </x:c>
      <x:c r="N151" s="9" t="inlineStr">
        <x:is>
          <x:t xml:space="preserve">Módulos de acero + paneles SIP</x:t>
        </x:is>
      </x:c>
      <x:c r="O151" s="10" t="inlineStr">
        <x:is>
          <x:t xml:space="preserve">Acero galvanizado o madera laminada + panel SIP MgO/OSB</x:t>
        </x:is>
      </x:c>
      <x:c r="P151" s="15" t="n">
        <x:v>160</x:v>
      </x:c>
      <x:c r="Q151" s="9" t="inlineStr">
        <x:is>
          <x:t xml:space="preserve">Lana mineral 75-100 mm o EPS integrado</x:t>
        </x:is>
      </x:c>
      <x:c r="R151" s="15" t="n">
        <x:v>100</x:v>
      </x:c>
      <x:c r="S151" s="10" t="inlineStr">
        <x:is>
          <x:t xml:space="preserve">Módulo volumétrico con cubierta panelizada</x:t>
        </x:is>
      </x:c>
      <x:c r="T151" s="15" t="n">
        <x:v>160</x:v>
      </x:c>
      <x:c r="U151" s="10" t="inlineStr">
        <x:is>
          <x:t xml:space="preserve">Lana mineral / EPS / barrera vapor</x:t>
        </x:is>
      </x:c>
      <x:c r="V151" s="9" t="inlineStr">
        <x:is>
          <x:t xml:space="preserve">Bastidor metálico o madera laminada</x:t>
        </x:is>
      </x:c>
      <x:c r="W151" s="10" t="inlineStr">
        <x:is>
          <x:t xml:space="preserve">Lana mineral 80-100 mm + fibrocemento</x:t>
        </x:is>
      </x:c>
      <x:c r="X151" s="9" t="inlineStr">
        <x:is>
          <x:t xml:space="preserve">Aluminio termopanel</x:t>
        </x:is>
      </x:c>
      <x:c r="Y151" s="9" t="inlineStr">
        <x:is>
          <x:t xml:space="preserve">Fibrocemento tipo siding</x:t>
        </x:is>
      </x:c>
      <x:c r="Z151" s="9" t="inlineStr">
        <x:is>
          <x:t xml:space="preserve">Yeso cartón pintado</x:t>
        </x:is>
      </x:c>
      <x:c r="AA151" s="9" t="inlineStr">
        <x:is>
          <x:t xml:space="preserve">Dados de hormigón</x:t>
        </x:is>
      </x:c>
      <x:c r="AB151" s="15" t="n">
        <x:v>9</x:v>
      </x:c>
      <x:c r="AC151" s="15" t="n">
        <x:v>6</x:v>
      </x:c>
      <x:c r="AD151" s="9" t="inlineStr">
        <x:is>
          <x:t xml:space="preserve">Oficina + vivienda</x:t>
        </x:is>
      </x:c>
      <x:c r="AE151" s="9" t="inlineStr">
        <x:is>
          <x:t xml:space="preserve">Centro-sur templado lluvioso</x:t>
        </x:is>
      </x:c>
      <x:c r="AF151" s="10" t="inlineStr">
        <x:is>
          <x:t xml:space="preserve">Criterios de prefabricación modular y coordinación BIM (referencial)</x:t>
        </x:is>
      </x:c>
      <x:c r="AG151" s="10" t="inlineStr">
        <x:is>
          <x:t xml:space="preserve">https://modul.cl/construccion-de-casas-prefabricadas-modulares/ | https://tecnofasthome.cl/casas-modulares/</x:t>
        </x:is>
      </x:c>
      <x:c r="AH151" s="10" t="inlineStr">
        <x:is>
          <x:t xml:space="preserve">Estructura: Estructura híbrida acero-madera panelizada; muros Acero galvanizado o madera laminada + panel SIP MgO/OSB de 160 mm con aislación Lana mineral 75-100 mm o EPS integrado (100 mm); cubierta Módulo volumétrico con cubierta panelizada de 160 mm; ventanas Aluminio termopanel; revestimiento exterior Fibrocemento tipo siding; interior Yeso cartón RH; fundación sugerida Dados de hormigón.</x:t>
        </x:is>
      </x:c>
    </x:row>
    <x:row r="152" ht="32" customHeight="1">
      <x:c r="A152" s="9" t="inlineStr">
        <x:is>
          <x:t xml:space="preserve">MOD-0151</x:t>
        </x:is>
      </x:c>
      <x:c r="B152" s="9" t="inlineStr">
        <x:is>
          <x:t xml:space="preserve">EMP-031</x:t>
        </x:is>
      </x:c>
      <x:c r="C152" s="9" t="inlineStr">
        <x:is>
          <x:t xml:space="preserve">Linares 60</x:t>
        </x:is>
      </x:c>
      <x:c r="D152" s="9" t="inlineStr">
        <x:is>
          <x:t xml:space="preserve">Linares</x:t>
        </x:is>
      </x:c>
      <x:c r="E152" s="9" t="inlineStr">
        <x:is>
          <x:t xml:space="preserve">Volcán</x:t>
        </x:is>
      </x:c>
      <x:c r="F152" s="9" t="inlineStr">
        <x:is>
          <x:t xml:space="preserve">Sí</x:t>
        </x:is>
      </x:c>
      <x:c r="G152" s="9" t="inlineStr">
        <x:is>
          <x:t xml:space="preserve">SIP</x:t>
        </x:is>
      </x:c>
      <x:c r="H152" s="15" t="n">
        <x:v>60</x:v>
      </x:c>
      <x:c r="I152" s="9" t="n">
        <x:v>2</x:v>
      </x:c>
      <x:c r="J152" s="9" t="n">
        <x:v>1</x:v>
      </x:c>
      <x:c r="K152" s="9" t="n">
        <x:v>1</x:v>
      </x:c>
      <x:c r="L152" s="9" t="n">
        <x:v>2</x:v>
      </x:c>
      <x:c r="M152" s="12" t="n">
        <x:v>2.5</x:v>
      </x:c>
      <x:c r="N152" s="9" t="inlineStr">
        <x:is>
          <x:t xml:space="preserve">Panel SIP estructural OSB/EPS/OSB</x:t>
        </x:is>
      </x:c>
      <x:c r="O152" s="10" t="inlineStr">
        <x:is>
          <x:t xml:space="preserve">2 placas OSB estructural + núcleo EPS alta densidad</x:t>
        </x:is>
      </x:c>
      <x:c r="P152" s="15" t="n">
        <x:v>75</x:v>
      </x:c>
      <x:c r="Q152" s="9" t="inlineStr">
        <x:is>
          <x:t xml:space="preserve">EPS alta densidad 15 kg/m³</x:t>
        </x:is>
      </x:c>
      <x:c r="R152" s="15" t="n">
        <x:v>53</x:v>
      </x:c>
      <x:c r="S152" s="10" t="inlineStr">
        <x:is>
          <x:t xml:space="preserve">Panel SIP de cubierta + membrana hidrófuga + hojalatería</x:t>
        </x:is>
      </x:c>
      <x:c r="T152" s="15" t="n">
        <x:v>164</x:v>
      </x:c>
      <x:c r="U152" s="10" t="inlineStr">
        <x:is>
          <x:t xml:space="preserve">EPS integrado + sellos PU</x:t>
        </x:is>
      </x:c>
      <x:c r="V152" s="9" t="inlineStr">
        <x:is>
          <x:t xml:space="preserve">Base entramado madera o radier con barrera de humedad</x:t>
        </x:is>
      </x:c>
      <x:c r="W152" s="10" t="inlineStr">
        <x:is>
          <x:t xml:space="preserve">Aislación bajo piso PET o lana mineral 50-100 mm</x:t>
        </x:is>
      </x:c>
      <x:c r="X152" s="9" t="inlineStr">
        <x:is>
          <x:t xml:space="preserve">PVC termopanel</x:t>
        </x:is>
      </x:c>
      <x:c r="Y152" s="9" t="inlineStr">
        <x:is>
          <x:t xml:space="preserve">Madera tratada</x:t>
        </x:is>
      </x:c>
      <x:c r="Z152" s="9" t="inlineStr">
        <x:is>
          <x:t xml:space="preserve">Yeso cartón RH en zonas húmedas</x:t>
        </x:is>
      </x:c>
      <x:c r="AA152" s="9" t="inlineStr">
        <x:is>
          <x:t xml:space="preserve">Pilotes metálicos</x:t>
        </x:is>
      </x:c>
      <x:c r="AB152" s="15" t="n">
        <x:v>3</x:v>
      </x:c>
      <x:c r="AC152" s="15" t="n">
        <x:v>8</x:v>
      </x:c>
      <x:c r="AD152" s="9" t="inlineStr">
        <x:is>
          <x:t xml:space="preserve">Oficina + vivienda</x:t>
        </x:is>
      </x:c>
      <x:c r="AE152" s="9" t="inlineStr">
        <x:is>
          <x:t xml:space="preserve">Centro-sur templado lluvioso</x:t>
        </x:is>
      </x:c>
      <x:c r="AF152" s="10" t="inlineStr">
        <x:is>
          <x:t xml:space="preserve">NCh3393:2016 (referencial para paneles SIP)</x:t>
        </x:is>
      </x:c>
      <x:c r="AG15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2" s="10" t="inlineStr">
        <x:is>
          <x:t xml:space="preserve">Estructura: Panel SIP estructural con uniones en pino seco; muros 2 placas OSB estructural + núcleo EPS alta densidad de 75 mm con aislación EPS alta densidad 15 kg/m³ (53 mm); cubierta Panel SIP de cubierta + membrana hidrófuga + hojalatería de 164 mm; ventanas Aluminio con termopanel; revestimiento exterior Madera tratada; interior Yeso cartón RH en zonas húmedas; fundación sugerida Sobrecimientos y radier.</x:t>
        </x:is>
      </x:c>
    </x:row>
    <x:row r="153" ht="32" customHeight="1">
      <x:c r="A153" s="9" t="inlineStr">
        <x:is>
          <x:t xml:space="preserve">MOD-0152</x:t>
        </x:is>
      </x:c>
      <x:c r="B153" s="9" t="inlineStr">
        <x:is>
          <x:t xml:space="preserve">EMP-031</x:t>
        </x:is>
      </x:c>
      <x:c r="C153" s="9" t="inlineStr">
        <x:is>
          <x:t xml:space="preserve">Puyehue 104</x:t>
        </x:is>
      </x:c>
      <x:c r="D153" s="9" t="inlineStr">
        <x:is>
          <x:t xml:space="preserve">Puyehue</x:t>
        </x:is>
      </x:c>
      <x:c r="E153" s="9" t="inlineStr">
        <x:is>
          <x:t xml:space="preserve">Río</x:t>
        </x:is>
      </x:c>
      <x:c r="F153" s="9" t="inlineStr">
        <x:is>
          <x:t xml:space="preserve">Sí</x:t>
        </x:is>
      </x:c>
      <x:c r="G153" s="9" t="inlineStr">
        <x:is>
          <x:t xml:space="preserve">SIP</x:t>
        </x:is>
      </x:c>
      <x:c r="H153" s="15" t="n">
        <x:v>104</x:v>
      </x:c>
      <x:c r="I153" s="9" t="n">
        <x:v>3</x:v>
      </x:c>
      <x:c r="J153" s="9" t="n">
        <x:v>2</x:v>
      </x:c>
      <x:c r="K153" s="9" t="n">
        <x:v>1</x:v>
      </x:c>
      <x:c r="L153" s="9" t="n">
        <x:v>3</x:v>
      </x:c>
      <x:c r="M153" s="12" t="n">
        <x:v>2.45</x:v>
      </x:c>
      <x:c r="N153" s="9" t="inlineStr">
        <x:is>
          <x:t xml:space="preserve">Panel SIP estructural con uniones en pino seco</x:t>
        </x:is>
      </x:c>
      <x:c r="O153" s="10" t="inlineStr">
        <x:is>
          <x:t xml:space="preserve">2 placas OSB estructural + núcleo EPS alta densidad</x:t>
        </x:is>
      </x:c>
      <x:c r="P153" s="15" t="n">
        <x:v>130</x:v>
      </x:c>
      <x:c r="Q153" s="9" t="inlineStr">
        <x:is>
          <x:t xml:space="preserve">EPS alta densidad 15 kg/m³</x:t>
        </x:is>
      </x:c>
      <x:c r="R153" s="15" t="n">
        <x:v>53</x:v>
      </x:c>
      <x:c r="S153" s="10" t="inlineStr">
        <x:is>
          <x:t xml:space="preserve">Panel SIP de cubierta + membrana hidrófuga + hojalatería</x:t>
        </x:is>
      </x:c>
      <x:c r="T153" s="15" t="n">
        <x:v>130</x:v>
      </x:c>
      <x:c r="U153" s="10" t="inlineStr">
        <x:is>
          <x:t xml:space="preserve">EPS integrado + sellos PU</x:t>
        </x:is>
      </x:c>
      <x:c r="V153" s="9" t="inlineStr">
        <x:is>
          <x:t xml:space="preserve">Base entramado madera o radier con barrera de humedad</x:t>
        </x:is>
      </x:c>
      <x:c r="W153" s="10" t="inlineStr">
        <x:is>
          <x:t xml:space="preserve">Aislación bajo piso PET o lana mineral 50-100 mm</x:t>
        </x:is>
      </x:c>
      <x:c r="X153" s="9" t="inlineStr">
        <x:is>
          <x:t xml:space="preserve">Aluminio con termopanel</x:t>
        </x:is>
      </x:c>
      <x:c r="Y153" s="9" t="inlineStr">
        <x:is>
          <x:t xml:space="preserve">Madera tratada</x:t>
        </x:is>
      </x:c>
      <x:c r="Z153" s="9" t="inlineStr">
        <x:is>
          <x:t xml:space="preserve">Yeso cartón RH en zonas húmedas</x:t>
        </x:is>
      </x:c>
      <x:c r="AA153" s="9" t="inlineStr">
        <x:is>
          <x:t xml:space="preserve">Radier afinado</x:t>
        </x:is>
      </x:c>
      <x:c r="AB153" s="15" t="n">
        <x:v>5</x:v>
      </x:c>
      <x:c r="AC153" s="15" t="n">
        <x:v>7</x:v>
      </x:c>
      <x:c r="AD153" s="9" t="inlineStr">
        <x:is>
          <x:t xml:space="preserve">Cabaña permanente</x:t>
        </x:is>
      </x:c>
      <x:c r="AE153" s="9" t="inlineStr">
        <x:is>
          <x:t xml:space="preserve">Centro-sur templado lluvioso</x:t>
        </x:is>
      </x:c>
      <x:c r="AF153" s="10" t="inlineStr">
        <x:is>
          <x:t xml:space="preserve">NCh3393:2016 (referencial para paneles SIP)</x:t>
        </x:is>
      </x:c>
      <x:c r="AG153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3" s="10" t="inlineStr">
        <x:is>
          <x:t xml:space="preserve">Estructura: Panel SIP estructural OSB/EPS/OSB; muros 2 placas OSB estructural + núcleo EPS alta densidad de 130 mm con aislación EPS alta densidad 15 kg/m³ (53 mm); cubierta Panel SIP de cubierta + membrana hidrófuga + hojalatería de 130 mm; ventanas PVC DVH; revestimiento exterior Plancha metálica prepintada; interior MDF en zonas secas; fundación sugerida Fundación corrida.</x:t>
        </x:is>
      </x:c>
    </x:row>
    <x:row r="154" ht="32" customHeight="1">
      <x:c r="A154" s="9" t="inlineStr">
        <x:is>
          <x:t xml:space="preserve">MOD-0153</x:t>
        </x:is>
      </x:c>
      <x:c r="B154" s="9" t="inlineStr">
        <x:is>
          <x:t xml:space="preserve">EMP-031</x:t>
        </x:is>
      </x:c>
      <x:c r="C154" s="9" t="inlineStr">
        <x:is>
          <x:t xml:space="preserve">Llanquihue 80</x:t>
        </x:is>
      </x:c>
      <x:c r="D154" s="9" t="inlineStr">
        <x:is>
          <x:t xml:space="preserve">Llanquihue</x:t>
        </x:is>
      </x:c>
      <x:c r="E154" s="9" t="inlineStr">
        <x:is>
          <x:t xml:space="preserve">Lago</x:t>
        </x:is>
      </x:c>
      <x:c r="F154" s="9" t="inlineStr">
        <x:is>
          <x:t xml:space="preserve">Sí</x:t>
        </x:is>
      </x:c>
      <x:c r="G154" s="9" t="inlineStr">
        <x:is>
          <x:t xml:space="preserve">MODULAR_TIMBER</x:t>
        </x:is>
      </x:c>
      <x:c r="H154" s="15" t="n">
        <x:v>80</x:v>
      </x:c>
      <x:c r="I154" s="9" t="n">
        <x:v>3</x:v>
      </x:c>
      <x:c r="J154" s="9" t="n">
        <x:v>2</x:v>
      </x:c>
      <x:c r="K154" s="9" t="n">
        <x:v>1</x:v>
      </x:c>
      <x:c r="L154" s="9" t="n">
        <x:v>2</x:v>
      </x:c>
      <x:c r="M154" s="12" t="n">
        <x:v>2.5</x:v>
      </x:c>
      <x:c r="N154" s="9" t="inlineStr">
        <x:is>
          <x:t xml:space="preserve">Entramado ligero en pino impregnado</x:t>
        </x:is>
      </x:c>
      <x:c r="O154" s="10" t="inlineStr">
        <x:is>
          <x:t xml:space="preserve">Madera estructural + OSB / terciado + barrera hidrófuga</x:t>
        </x:is>
      </x:c>
      <x:c r="P154" s="15" t="n">
        <x:v>100</x:v>
      </x:c>
      <x:c r="Q154" s="9" t="inlineStr">
        <x:is>
          <x:t xml:space="preserve">Lana mineral / lana de vidrio / PET reciclado</x:t>
        </x:is>
      </x:c>
      <x:c r="R154" s="15" t="n">
        <x:v>90</x:v>
      </x:c>
      <x:c r="S154" s="10" t="inlineStr">
        <x:is>
          <x:t xml:space="preserve">Cercha de madera + cubierta metálica o tejuela asfáltica</x:t>
        </x:is>
      </x:c>
      <x:c r="T154" s="15" t="n">
        <x:v>180</x:v>
      </x:c>
      <x:c r="U154" s="10" t="inlineStr">
        <x:is>
          <x:t xml:space="preserve">Lana mineral 80-140 mm + membrana</x:t>
        </x:is>
      </x:c>
      <x:c r="V154" s="9" t="inlineStr">
        <x:is>
          <x:t xml:space="preserve">Plataforma de madera estructural o radier</x:t>
        </x:is>
      </x:c>
      <x:c r="W154" s="10" t="inlineStr">
        <x:is>
          <x:t xml:space="preserve">Lana mineral 50-100 mm / barrera humedad</x:t>
        </x:is>
      </x:c>
      <x:c r="X154" s="9" t="inlineStr">
        <x:is>
          <x:t xml:space="preserve">Aluminio termopanel</x:t>
        </x:is>
      </x:c>
      <x:c r="Y154" s="9" t="inlineStr">
        <x:is>
          <x:t xml:space="preserve">Madera tratada</x:t>
        </x:is>
      </x:c>
      <x:c r="Z154" s="9" t="inlineStr">
        <x:is>
          <x:t xml:space="preserve">MDF ranurado</x:t>
        </x:is>
      </x:c>
      <x:c r="AA154" s="9" t="inlineStr">
        <x:is>
          <x:t xml:space="preserve">Radier</x:t>
        </x:is>
      </x:c>
      <x:c r="AB154" s="15" t="n">
        <x:v>7</x:v>
      </x:c>
      <x:c r="AC154" s="15" t="n">
        <x:v>12</x:v>
      </x:c>
      <x:c r="AD154" s="9" t="inlineStr">
        <x:is>
          <x:t xml:space="preserve">Cabaña permanente</x:t>
        </x:is>
      </x:c>
      <x:c r="AE154" s="9" t="inlineStr">
        <x:is>
          <x:t xml:space="preserve">Centro-sur templado lluvioso</x:t>
        </x:is>
      </x:c>
      <x:c r="AF154" s="10" t="inlineStr">
        <x:is>
          <x:t xml:space="preserve">Especificaciones técnicas de vivienda industrializada en madera (referencial)</x:t>
        </x:is>
      </x:c>
      <x:c r="AG154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54" s="10" t="inlineStr">
        <x:is>
          <x:t xml:space="preserve">Estructura: Wood frame modular; muros Madera estructural + OSB / terciado + barrera hidrófuga de 100 mm con aislación Lana mineral / lana de vidrio / PET reciclado (90 mm); cubierta Cercha de madera + cubierta metálica o tejuela asfáltica de 180 mm; ventanas Aluminio termopanel; revestimiento exterior Madera tratada; interior Terciado pintado; fundación sugerida Pilotes.</x:t>
        </x:is>
      </x:c>
    </x:row>
    <x:row r="155" ht="32" customHeight="1">
      <x:c r="A155" s="9" t="inlineStr">
        <x:is>
          <x:t xml:space="preserve">MOD-0154</x:t>
        </x:is>
      </x:c>
      <x:c r="B155" s="9" t="inlineStr">
        <x:is>
          <x:t xml:space="preserve">EMP-031</x:t>
        </x:is>
      </x:c>
      <x:c r="C155" s="9" t="inlineStr">
        <x:is>
          <x:t xml:space="preserve">Ranco 144</x:t>
        </x:is>
      </x:c>
      <x:c r="D155" s="9" t="inlineStr">
        <x:is>
          <x:t xml:space="preserve">Ranco</x:t>
        </x:is>
      </x:c>
      <x:c r="E155" s="9" t="inlineStr">
        <x:is>
          <x:t xml:space="preserve">Valle</x:t>
        </x:is>
      </x:c>
      <x:c r="F155" s="9" t="inlineStr">
        <x:is>
          <x:t xml:space="preserve">Sí</x:t>
        </x:is>
      </x:c>
      <x:c r="G155" s="9" t="inlineStr">
        <x:is>
          <x:t xml:space="preserve">STEEL_FRAME</x:t>
        </x:is>
      </x:c>
      <x:c r="H155" s="15" t="n">
        <x:v>144</x:v>
      </x:c>
      <x:c r="I155" s="9" t="n">
        <x:v>4</x:v>
      </x:c>
      <x:c r="J155" s="9" t="n">
        <x:v>3</x:v>
      </x:c>
      <x:c r="K155" s="9" t="n">
        <x:v>1</x:v>
      </x:c>
      <x:c r="L155" s="9" t="n">
        <x:v>4</x:v>
      </x:c>
      <x:c r="M155" s="12" t="n">
        <x:v>2.35</x:v>
      </x:c>
      <x:c r="N155" s="9" t="inlineStr">
        <x:is>
          <x:t xml:space="preserve">Perfilería de acero galvanizado liviano</x:t>
        </x:is>
      </x:c>
      <x:c r="O155" s="10" t="inlineStr">
        <x:is>
          <x:t xml:space="preserve">Acero galvanizado + placa OSB/fibrocemento + cámara técnica</x:t>
        </x:is>
      </x:c>
      <x:c r="P155" s="15" t="n">
        <x:v>110</x:v>
      </x:c>
      <x:c r="Q155" s="9" t="inlineStr">
        <x:is>
          <x:t xml:space="preserve">Lana mineral o lana de roca / PET / EPS según zona térmica</x:t>
        </x:is>
      </x:c>
      <x:c r="R155" s="15" t="n">
        <x:v>60</x:v>
      </x:c>
      <x:c r="S155" s="10" t="inlineStr">
        <x:is>
          <x:t xml:space="preserve">Cerchas o paneles steel frame + cubierta metálica</x:t>
        </x:is>
      </x:c>
      <x:c r="T155" s="15" t="n">
        <x:v>150</x:v>
      </x:c>
      <x:c r="U155" s="10" t="inlineStr">
        <x:is>
          <x:t xml:space="preserve">Lana mineral / lana de roca + barrera de vapor</x:t>
        </x:is>
      </x:c>
      <x:c r="V155" s="9" t="inlineStr">
        <x:is>
          <x:t xml:space="preserve">Envigado metálico o plataforma estructural</x:t>
        </x:is>
      </x:c>
      <x:c r="W155" s="10" t="inlineStr">
        <x:is>
          <x:t xml:space="preserve">Lana mineral 50-100 mm + placas estructurales</x:t>
        </x:is>
      </x:c>
      <x:c r="X155" s="9" t="inlineStr">
        <x:is>
          <x:t xml:space="preserve">PVC termopanel</x:t>
        </x:is>
      </x:c>
      <x:c r="Y155" s="9" t="inlineStr">
        <x:is>
          <x:t xml:space="preserve">Plancha metálica</x:t>
        </x:is>
      </x:c>
      <x:c r="Z155" s="9" t="inlineStr">
        <x:is>
          <x:t xml:space="preserve">Yeso cartón</x:t>
        </x:is>
      </x:c>
      <x:c r="AA155" s="9" t="inlineStr">
        <x:is>
          <x:t xml:space="preserve">Pilotes</x:t>
        </x:is>
      </x:c>
      <x:c r="AB155" s="15" t="n">
        <x:v>8</x:v>
      </x:c>
      <x:c r="AC155" s="15" t="n">
        <x:v>12</x:v>
      </x:c>
      <x:c r="AD155" s="9" t="inlineStr">
        <x:is>
          <x:t xml:space="preserve">Turismo / arriendo</x:t>
        </x:is>
      </x:c>
      <x:c r="AE155" s="9" t="inlineStr">
        <x:is>
          <x:t xml:space="preserve">Centro-sur templado lluvioso</x:t>
        </x:is>
      </x:c>
      <x:c r="AF155" s="10" t="inlineStr">
        <x:is>
          <x:t xml:space="preserve">Criterio térmico referencial OGUC / reglamentación térmica vigente</x:t>
        </x:is>
      </x:c>
      <x:c r="AG155" s="10" t="inlineStr">
        <x:is>
          <x:t xml:space="preserve">https://www.steelframe.cl/ | https://vhaceros.cl/blog/steel-framing-principios-estructurales-y-ventajas-en-la-construccion-chilena/</x:t>
        </x:is>
      </x:c>
      <x:c r="AH155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(60 mm); cubierta Cerchas o paneles steel frame + cubierta metálica de 150 mm; ventanas PVC termopanel; revestimiento exterior Siding fibrocemento; interior Yeso cartón; fundación sugerida Radier reforzado.</x:t>
        </x:is>
      </x:c>
    </x:row>
    <x:row r="156" ht="32" customHeight="1">
      <x:c r="A156" s="9" t="inlineStr">
        <x:is>
          <x:t xml:space="preserve">MOD-0155</x:t>
        </x:is>
      </x:c>
      <x:c r="B156" s="9" t="inlineStr">
        <x:is>
          <x:t xml:space="preserve">EMP-031</x:t>
        </x:is>
      </x:c>
      <x:c r="C156" s="9" t="inlineStr">
        <x:is>
          <x:t xml:space="preserve">Calafquén 176</x:t>
        </x:is>
      </x:c>
      <x:c r="D156" s="9" t="inlineStr">
        <x:is>
          <x:t xml:space="preserve">Calafquén</x:t>
        </x:is>
      </x:c>
      <x:c r="E156" s="9" t="inlineStr">
        <x:is>
          <x:t xml:space="preserve">Volcán</x:t>
        </x:is>
      </x:c>
      <x:c r="F156" s="9" t="inlineStr">
        <x:is>
          <x:t xml:space="preserve">Sí</x:t>
        </x:is>
      </x:c>
      <x:c r="G156" s="9" t="inlineStr">
        <x:is>
          <x:t xml:space="preserve">HYBRID_MODULAR</x:t>
        </x:is>
      </x:c>
      <x:c r="H156" s="15" t="n">
        <x:v>176</x:v>
      </x:c>
      <x:c r="I156" s="9" t="n">
        <x:v>4</x:v>
      </x:c>
      <x:c r="J156" s="9" t="n">
        <x:v>3</x:v>
      </x:c>
      <x:c r="K156" s="9" t="n">
        <x:v>2</x:v>
      </x:c>
      <x:c r="L156" s="9" t="n">
        <x:v>4</x:v>
      </x:c>
      <x:c r="M156" s="12" t="n">
        <x:v>2.5</x:v>
      </x:c>
      <x:c r="N156" s="9" t="inlineStr">
        <x:is>
          <x:t xml:space="preserve">Módulos de acero + paneles SIP</x:t>
        </x:is>
      </x:c>
      <x:c r="O156" s="10" t="inlineStr">
        <x:is>
          <x:t xml:space="preserve">Acero galvanizado o madera laminada + panel SIP MgO/OSB</x:t>
        </x:is>
      </x:c>
      <x:c r="P156" s="15" t="n">
        <x:v>140</x:v>
      </x:c>
      <x:c r="Q156" s="9" t="inlineStr">
        <x:is>
          <x:t xml:space="preserve">Lana mineral 75-100 mm o EPS integrado</x:t>
        </x:is>
      </x:c>
      <x:c r="R156" s="15" t="n">
        <x:v>90</x:v>
      </x:c>
      <x:c r="S156" s="10" t="inlineStr">
        <x:is>
          <x:t xml:space="preserve">Módulo volumétrico con cubierta panelizada</x:t>
        </x:is>
      </x:c>
      <x:c r="T156" s="15" t="n">
        <x:v>180</x:v>
      </x:c>
      <x:c r="U156" s="10" t="inlineStr">
        <x:is>
          <x:t xml:space="preserve">Lana mineral / EPS / barrera vapor</x:t>
        </x:is>
      </x:c>
      <x:c r="V156" s="9" t="inlineStr">
        <x:is>
          <x:t xml:space="preserve">Bastidor metálico o madera laminada</x:t>
        </x:is>
      </x:c>
      <x:c r="W156" s="10" t="inlineStr">
        <x:is>
          <x:t xml:space="preserve">Lana mineral 80-100 mm + fibrocemento</x:t>
        </x:is>
      </x:c>
      <x:c r="X156" s="9" t="inlineStr">
        <x:is>
          <x:t xml:space="preserve">Aluminio termopanel</x:t>
        </x:is>
      </x:c>
      <x:c r="Y156" s="9" t="inlineStr">
        <x:is>
          <x:t xml:space="preserve">Plancha metálica</x:t>
        </x:is>
      </x:c>
      <x:c r="Z156" s="9" t="inlineStr">
        <x:is>
          <x:t xml:space="preserve">Yeso cartón RH</x:t>
        </x:is>
      </x:c>
      <x:c r="AA156" s="9" t="inlineStr">
        <x:is>
          <x:t xml:space="preserve">Radier</x:t>
        </x:is>
      </x:c>
      <x:c r="AB156" s="15" t="n">
        <x:v>8</x:v>
      </x:c>
      <x:c r="AC156" s="15" t="n">
        <x:v>9</x:v>
      </x:c>
      <x:c r="AD156" s="9" t="inlineStr">
        <x:is>
          <x:t xml:space="preserve">Parcela</x:t>
        </x:is>
      </x:c>
      <x:c r="AE156" s="9" t="inlineStr">
        <x:is>
          <x:t xml:space="preserve">Centro-sur templado lluvioso</x:t>
        </x:is>
      </x:c>
      <x:c r="AF156" s="10" t="inlineStr">
        <x:is>
          <x:t xml:space="preserve">Criterios de prefabricación modular y coordinación BIM (referencial)</x:t>
        </x:is>
      </x:c>
      <x:c r="AG156" s="10" t="inlineStr">
        <x:is>
          <x:t xml:space="preserve">https://modul.cl/construccion-de-casas-prefabricadas-modulares/ | https://tecnofasthome.cl/casas-modulares/</x:t>
        </x:is>
      </x:c>
      <x:c r="AH156" s="10" t="inlineStr">
        <x:is>
          <x:t xml:space="preserve">Estructura: Módulos de acero + paneles SIP; muros Acero galvanizado o madera laminada + panel SIP MgO/OSB de 140 mm con aislación Lana mineral 75-100 mm o EPS integrado (90 mm); cubierta Módulo volumétrico con cubierta panelizada de 180 mm; ventanas PVC termopanel; revestimiento exterior Fibrocemento tipo siding; interior Melamina blanca; fundación sugerida Radier.</x:t>
        </x:is>
      </x:c>
    </x:row>
    <x:row r="157" ht="32" customHeight="1">
      <x:c r="A157" s="9" t="inlineStr">
        <x:is>
          <x:t xml:space="preserve">MOD-0156</x:t>
        </x:is>
      </x:c>
      <x:c r="B157" s="9" t="inlineStr">
        <x:is>
          <x:t xml:space="preserve">EMP-032</x:t>
        </x:is>
      </x:c>
      <x:c r="C157" s="9" t="inlineStr">
        <x:is>
          <x:t xml:space="preserve">Villarrica 42</x:t>
        </x:is>
      </x:c>
      <x:c r="D157" s="9" t="inlineStr">
        <x:is>
          <x:t xml:space="preserve">Villarrica</x:t>
        </x:is>
      </x:c>
      <x:c r="E157" s="9" t="inlineStr">
        <x:is>
          <x:t xml:space="preserve">Archipiélago</x:t>
        </x:is>
      </x:c>
      <x:c r="F157" s="9" t="inlineStr">
        <x:is>
          <x:t xml:space="preserve">Sí</x:t>
        </x:is>
      </x:c>
      <x:c r="G157" s="9" t="inlineStr">
        <x:is>
          <x:t xml:space="preserve">SIP</x:t>
        </x:is>
      </x:c>
      <x:c r="H157" s="15" t="n">
        <x:v>42</x:v>
      </x:c>
      <x:c r="I157" s="9" t="n">
        <x:v>1</x:v>
      </x:c>
      <x:c r="J157" s="9" t="n">
        <x:v>1</x:v>
      </x:c>
      <x:c r="K157" s="9" t="n">
        <x:v>1</x:v>
      </x:c>
      <x:c r="L157" s="9" t="n">
        <x:v>1</x:v>
      </x:c>
      <x:c r="M157" s="12" t="n">
        <x:v>2.4</x:v>
      </x:c>
      <x:c r="N157" s="9" t="inlineStr">
        <x:is>
          <x:t xml:space="preserve">Panel SIP estructural con uniones en pino seco</x:t>
        </x:is>
      </x:c>
      <x:c r="O157" s="10" t="inlineStr">
        <x:is>
          <x:t xml:space="preserve">2 placas OSB estructural + núcleo EPS alta densidad</x:t>
        </x:is>
      </x:c>
      <x:c r="P157" s="15" t="n">
        <x:v>114</x:v>
      </x:c>
      <x:c r="Q157" s="9" t="inlineStr">
        <x:is>
          <x:t xml:space="preserve">EPS alta densidad 15 kg/m³</x:t>
        </x:is>
      </x:c>
      <x:c r="R157" s="15" t="n">
        <x:v>53</x:v>
      </x:c>
      <x:c r="S157" s="10" t="inlineStr">
        <x:is>
          <x:t xml:space="preserve">Panel SIP de cubierta + membrana hidrófuga + hojalatería</x:t>
        </x:is>
      </x:c>
      <x:c r="T157" s="15" t="n">
        <x:v>130</x:v>
      </x:c>
      <x:c r="U157" s="10" t="inlineStr">
        <x:is>
          <x:t xml:space="preserve">EPS integrado + sellos PU</x:t>
        </x:is>
      </x:c>
      <x:c r="V157" s="9" t="inlineStr">
        <x:is>
          <x:t xml:space="preserve">Base entramado madera o radier con barrera de humedad</x:t>
        </x:is>
      </x:c>
      <x:c r="W157" s="10" t="inlineStr">
        <x:is>
          <x:t xml:space="preserve">Aislación bajo piso PET o lana mineral 50-100 mm</x:t>
        </x:is>
      </x:c>
      <x:c r="X157" s="9" t="inlineStr">
        <x:is>
          <x:t xml:space="preserve">PVC DVH</x:t>
        </x:is>
      </x:c>
      <x:c r="Y157" s="9" t="inlineStr">
        <x:is>
          <x:t xml:space="preserve">Plancha metálica prepintada</x:t>
        </x:is>
      </x:c>
      <x:c r="Z157" s="9" t="inlineStr">
        <x:is>
          <x:t xml:space="preserve">Yeso cartón pintado</x:t>
        </x:is>
      </x:c>
      <x:c r="AA157" s="9" t="inlineStr">
        <x:is>
          <x:t xml:space="preserve">Radier afinado</x:t>
        </x:is>
      </x:c>
      <x:c r="AB157" s="15" t="n">
        <x:v>3</x:v>
      </x:c>
      <x:c r="AC157" s="15" t="n">
        <x:v>10</x:v>
      </x:c>
      <x:c r="AD157" s="9" t="inlineStr">
        <x:is>
          <x:t xml:space="preserve">Loteo habitacional</x:t>
        </x:is>
      </x:c>
      <x:c r="AE157" s="9" t="inlineStr">
        <x:is>
          <x:t xml:space="preserve">Centro-sur templado lluvioso</x:t>
        </x:is>
      </x:c>
      <x:c r="AF157" s="10" t="inlineStr">
        <x:is>
          <x:t xml:space="preserve">NCh3393:2016 (referencial para paneles SIP)</x:t>
        </x:is>
      </x:c>
      <x:c r="AG15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7" s="10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130 mm; ventanas PVC termopanel; revestimiento exterior Smart Panel; interior OSB sellado y pintado; fundación sugerida Pilotes metálicos.</x:t>
        </x:is>
      </x:c>
    </x:row>
    <x:row r="158" ht="32" customHeight="1">
      <x:c r="A158" s="9" t="inlineStr">
        <x:is>
          <x:t xml:space="preserve">MOD-0157</x:t>
        </x:is>
      </x:c>
      <x:c r="B158" s="9" t="inlineStr">
        <x:is>
          <x:t xml:space="preserve">EMP-032</x:t>
        </x:is>
      </x:c>
      <x:c r="C158" s="9" t="inlineStr">
        <x:is>
          <x:t xml:space="preserve">Caburgua 80</x:t>
        </x:is>
      </x:c>
      <x:c r="D158" s="9" t="inlineStr">
        <x:is>
          <x:t xml:space="preserve">Caburgua</x:t>
        </x:is>
      </x:c>
      <x:c r="E158" s="9" t="inlineStr">
        <x:is>
          <x:t xml:space="preserve">Comuna</x:t>
        </x:is>
      </x:c>
      <x:c r="F158" s="9" t="inlineStr">
        <x:is>
          <x:t xml:space="preserve">Sí</x:t>
        </x:is>
      </x:c>
      <x:c r="G158" s="9" t="inlineStr">
        <x:is>
          <x:t xml:space="preserve">STEEL_FRAME</x:t>
        </x:is>
      </x:c>
      <x:c r="H158" s="15" t="n">
        <x:v>80</x:v>
      </x:c>
      <x:c r="I158" s="9" t="n">
        <x:v>3</x:v>
      </x:c>
      <x:c r="J158" s="9" t="n">
        <x:v>2</x:v>
      </x:c>
      <x:c r="K158" s="9" t="n">
        <x:v>1</x:v>
      </x:c>
      <x:c r="L158" s="9" t="n">
        <x:v>2</x:v>
      </x:c>
      <x:c r="M158" s="12" t="n">
        <x:v>2.45</x:v>
      </x:c>
      <x:c r="N158" s="9" t="inlineStr">
        <x:is>
          <x:t xml:space="preserve">Perfilería de acero galvanizado liviano</x:t>
        </x:is>
      </x:c>
      <x:c r="O158" s="10" t="inlineStr">
        <x:is>
          <x:t xml:space="preserve">Acero galvanizado + placa OSB/fibrocemento + cámara técnica</x:t>
        </x:is>
      </x:c>
      <x:c r="P158" s="15" t="n">
        <x:v>110</x:v>
      </x:c>
      <x:c r="Q158" s="9" t="inlineStr">
        <x:is>
          <x:t xml:space="preserve">Lana mineral o lana de roca / PET / EPS según zona térmica</x:t>
        </x:is>
      </x:c>
      <x:c r="R158" s="15" t="n">
        <x:v>60</x:v>
      </x:c>
      <x:c r="S158" s="10" t="inlineStr">
        <x:is>
          <x:t xml:space="preserve">Cerchas o paneles steel frame + cubierta metálica</x:t>
        </x:is>
      </x:c>
      <x:c r="T158" s="15" t="n">
        <x:v>120</x:v>
      </x:c>
      <x:c r="U158" s="10" t="inlineStr">
        <x:is>
          <x:t xml:space="preserve">Lana mineral / lana de roca + barrera de vapor</x:t>
        </x:is>
      </x:c>
      <x:c r="V158" s="9" t="inlineStr">
        <x:is>
          <x:t xml:space="preserve">Envigado metálico o plataforma estructural</x:t>
        </x:is>
      </x:c>
      <x:c r="W158" s="10" t="inlineStr">
        <x:is>
          <x:t xml:space="preserve">Lana mineral 50-100 mm + placas estructurales</x:t>
        </x:is>
      </x:c>
      <x:c r="X158" s="9" t="inlineStr">
        <x:is>
          <x:t xml:space="preserve">Aluminio RPT termopanel</x:t>
        </x:is>
      </x:c>
      <x:c r="Y158" s="9" t="inlineStr">
        <x:is>
          <x:t xml:space="preserve">Plancha metálica</x:t>
        </x:is>
      </x:c>
      <x:c r="Z158" s="9" t="inlineStr">
        <x:is>
          <x:t xml:space="preserve">MDF pintado</x:t>
        </x:is>
      </x:c>
      <x:c r="AA158" s="9" t="inlineStr">
        <x:is>
          <x:t xml:space="preserve">Vigas de fundación y radier</x:t>
        </x:is>
      </x:c>
      <x:c r="AB158" s="15" t="n">
        <x:v>6</x:v>
      </x:c>
      <x:c r="AC158" s="15" t="n">
        <x:v>15</x:v>
      </x:c>
      <x:c r="AD158" s="9" t="inlineStr">
        <x:is>
          <x:t xml:space="preserve">Cabaña permanente</x:t>
        </x:is>
      </x:c>
      <x:c r="AE158" s="9" t="inlineStr">
        <x:is>
          <x:t xml:space="preserve">Centro-sur templado lluvioso</x:t>
        </x:is>
      </x:c>
      <x:c r="AF158" s="10" t="inlineStr">
        <x:is>
          <x:t xml:space="preserve">Criterio térmico referencial OGUC / reglamentación térmica vigente</x:t>
        </x:is>
      </x:c>
      <x:c r="AG158" s="10" t="inlineStr">
        <x:is>
          <x:t xml:space="preserve">https://www.steelframe.cl/ | https://vhaceros.cl/blog/steel-framing-principios-estructurales-y-ventajas-en-la-construccion-chilena/</x:t>
        </x:is>
      </x:c>
      <x:c r="AH158" s="10" t="inlineStr">
        <x:is>
          <x:t xml:space="preserve">Estructura: Panelizado steel frame industrializado; muros Acero galvanizado + placa OSB/fibrocemento + cámara técnica de 110 mm con aislación Lana mineral o lana de roca / PET / EPS según zona térmica (60 mm); cubierta Cerchas o paneles steel frame + cubierta metálica de 120 mm; ventanas Aluminio RPT termopanel; revestimiento exterior Plancha metálica; interior Yeso cartón RF; fundación sugerida Pilotes.</x:t>
        </x:is>
      </x:c>
    </x:row>
    <x:row r="159" ht="32" customHeight="1">
      <x:c r="A159" s="9" t="inlineStr">
        <x:is>
          <x:t xml:space="preserve">MOD-0158</x:t>
        </x:is>
      </x:c>
      <x:c r="B159" s="9" t="inlineStr">
        <x:is>
          <x:t xml:space="preserve">EMP-032</x:t>
        </x:is>
      </x:c>
      <x:c r="C159" s="9" t="inlineStr">
        <x:is>
          <x:t xml:space="preserve">Todos los Santos 104</x:t>
        </x:is>
      </x:c>
      <x:c r="D159" s="9" t="inlineStr">
        <x:is>
          <x:t xml:space="preserve">Todos los Santos</x:t>
        </x:is>
      </x:c>
      <x:c r="E159" s="9" t="inlineStr">
        <x:is>
          <x:t xml:space="preserve">Ciudad</x:t>
        </x:is>
      </x:c>
      <x:c r="F159" s="9" t="inlineStr">
        <x:is>
          <x:t xml:space="preserve">Sí</x:t>
        </x:is>
      </x:c>
      <x:c r="G159" s="9" t="inlineStr">
        <x:is>
          <x:t xml:space="preserve">SIP</x:t>
        </x:is>
      </x:c>
      <x:c r="H159" s="15" t="n">
        <x:v>104</x:v>
      </x:c>
      <x:c r="I159" s="9" t="n">
        <x:v>3</x:v>
      </x:c>
      <x:c r="J159" s="9" t="n">
        <x:v>2</x:v>
      </x:c>
      <x:c r="K159" s="9" t="n">
        <x:v>1</x:v>
      </x:c>
      <x:c r="L159" s="9" t="n">
        <x:v>3</x:v>
      </x:c>
      <x:c r="M159" s="12" t="n">
        <x:v>2.45</x:v>
      </x:c>
      <x:c r="N159" s="9" t="inlineStr">
        <x:is>
          <x:t xml:space="preserve">Panel SIP estructural con uniones en pino seco</x:t>
        </x:is>
      </x:c>
      <x:c r="O159" s="10" t="inlineStr">
        <x:is>
          <x:t xml:space="preserve">2 placas OSB estructural + núcleo EPS alta densidad</x:t>
        </x:is>
      </x:c>
      <x:c r="P159" s="15" t="n">
        <x:v>130</x:v>
      </x:c>
      <x:c r="Q159" s="9" t="inlineStr">
        <x:is>
          <x:t xml:space="preserve">EPS alta densidad 15 kg/m³</x:t>
        </x:is>
      </x:c>
      <x:c r="R159" s="15" t="n">
        <x:v>53</x:v>
      </x:c>
      <x:c r="S159" s="10" t="inlineStr">
        <x:is>
          <x:t xml:space="preserve">Panel SIP de cubierta + membrana hidrófuga + hojalatería</x:t>
        </x:is>
      </x:c>
      <x:c r="T159" s="15" t="n">
        <x:v>114</x:v>
      </x:c>
      <x:c r="U159" s="10" t="inlineStr">
        <x:is>
          <x:t xml:space="preserve">EPS integrado + sellos PU</x:t>
        </x:is>
      </x:c>
      <x:c r="V159" s="9" t="inlineStr">
        <x:is>
          <x:t xml:space="preserve">Base entramado madera o radier con barrera de humedad</x:t>
        </x:is>
      </x:c>
      <x:c r="W159" s="10" t="inlineStr">
        <x:is>
          <x:t xml:space="preserve">Aislación bajo piso PET o lana mineral 50-100 mm</x:t>
        </x:is>
      </x:c>
      <x:c r="X159" s="9" t="inlineStr">
        <x:is>
          <x:t xml:space="preserve">Aluminio con termopanel</x:t>
        </x:is>
      </x:c>
      <x:c r="Y159" s="9" t="inlineStr">
        <x:is>
          <x:t xml:space="preserve">Madera tratada</x:t>
        </x:is>
      </x:c>
      <x:c r="Z159" s="9" t="inlineStr">
        <x:is>
          <x:t xml:space="preserve">MDF en zonas secas</x:t>
        </x:is>
      </x:c>
      <x:c r="AA159" s="9" t="inlineStr">
        <x:is>
          <x:t xml:space="preserve">Pilotes metálicos</x:t>
        </x:is>
      </x:c>
      <x:c r="AB159" s="15" t="n">
        <x:v>7</x:v>
      </x:c>
      <x:c r="AC159" s="15" t="n">
        <x:v>9</x:v>
      </x:c>
      <x:c r="AD159" s="9" t="inlineStr">
        <x:is>
          <x:t xml:space="preserve">Segunda vivienda</x:t>
        </x:is>
      </x:c>
      <x:c r="AE159" s="9" t="inlineStr">
        <x:is>
          <x:t xml:space="preserve">Centro-sur templado lluvioso</x:t>
        </x:is>
      </x:c>
      <x:c r="AF159" s="10" t="inlineStr">
        <x:is>
          <x:t xml:space="preserve">NCh3393:2016 (referencial para paneles SIP)</x:t>
        </x:is>
      </x:c>
      <x:c r="AG15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9" s="10" t="inlineStr">
        <x:is>
          <x:t xml:space="preserve">Estructura: Panel SIP estructural con uniones en pino seco; muros 2 placas OSB estructural + núcleo EPS alta densidad de 130 mm con aislación EPS alta densidad 15 kg/m³ (53 mm); cubierta Panel SIP de cubierta + membrana hidrófuga + hojalatería de 114 mm; ventanas Aluminio con termopanel; revestimiento exterior Siding fibrocemento; interior Yeso cartón RH en zonas húmedas; fundación sugerida Radier afinado.</x:t>
        </x:is>
      </x:c>
    </x:row>
    <x:row r="160" ht="32" customHeight="1">
      <x:c r="A160" s="9" t="inlineStr">
        <x:is>
          <x:t xml:space="preserve">MOD-0159</x:t>
        </x:is>
      </x:c>
      <x:c r="B160" s="9" t="inlineStr">
        <x:is>
          <x:t xml:space="preserve">EMP-032</x:t>
        </x:is>
      </x:c>
      <x:c r="C160" s="9" t="inlineStr">
        <x:is>
          <x:t xml:space="preserve">General Carrera 96</x:t>
        </x:is>
      </x:c>
      <x:c r="D160" s="9" t="inlineStr">
        <x:is>
          <x:t xml:space="preserve">General Carrera</x:t>
        </x:is>
      </x:c>
      <x:c r="E160" s="9" t="inlineStr">
        <x:is>
          <x:t xml:space="preserve">Ciudad</x:t>
        </x:is>
      </x:c>
      <x:c r="F160" s="9" t="inlineStr">
        <x:is>
          <x:t xml:space="preserve">Sí</x:t>
        </x:is>
      </x:c>
      <x:c r="G160" s="9" t="inlineStr">
        <x:is>
          <x:t xml:space="preserve">CONTAINER</x:t>
        </x:is>
      </x:c>
      <x:c r="H160" s="15" t="n">
        <x:v>96</x:v>
      </x:c>
      <x:c r="I160" s="9" t="n">
        <x:v>3</x:v>
      </x:c>
      <x:c r="J160" s="9" t="n">
        <x:v>2</x:v>
      </x:c>
      <x:c r="K160" s="9" t="n">
        <x:v>1</x:v>
      </x:c>
      <x:c r="L160" s="9" t="n">
        <x:v>3</x:v>
      </x:c>
      <x:c r="M160" s="12" t="n">
        <x:v>2.5</x:v>
      </x:c>
      <x:c r="N160" s="9" t="inlineStr">
        <x:is>
          <x:t xml:space="preserve">Módulo habitacional de acero galvanizado / corten</x:t>
        </x:is>
      </x:c>
      <x:c r="O160" s="10" t="inlineStr">
        <x:is>
          <x:t xml:space="preserve">Estructura container + subestructura interior + revestimiento</x:t>
        </x:is>
      </x:c>
      <x:c r="P160" s="15" t="n">
        <x:v>90</x:v>
      </x:c>
      <x:c r="Q160" s="9" t="inlineStr">
        <x:is>
          <x:t xml:space="preserve">Poliuretano proyectado o EPS/Aislapol 40-60 mm</x:t>
        </x:is>
      </x:c>
      <x:c r="R160" s="15" t="n">
        <x:v>60</x:v>
      </x:c>
      <x:c r="S160" s="10" t="inlineStr">
        <x:is>
          <x:t xml:space="preserve">Cubierta metálica container + sobretecho ventilado opcional</x:t>
        </x:is>
      </x:c>
      <x:c r="T160" s="15" t="n">
        <x:v>100</x:v>
      </x:c>
      <x:c r="U160" s="10" t="inlineStr">
        <x:is>
          <x:t xml:space="preserve">Poliuretano / EPS + barrera anticondensación</x:t>
        </x:is>
      </x:c>
      <x:c r="V160" s="9" t="inlineStr">
        <x:is>
          <x:t xml:space="preserve">Piso terciado 18 mm o base original acondicionada + vinílico</x:t>
        </x:is>
      </x:c>
      <x:c r="W160" s="10" t="inlineStr">
        <x:is>
          <x:t xml:space="preserve">Aislación bajo piso 40-80 mm</x:t>
        </x:is>
      </x:c>
      <x:c r="X160" s="9" t="inlineStr">
        <x:is>
          <x:t xml:space="preserve">PVC termopanel</x:t>
        </x:is>
      </x:c>
      <x:c r="Y160" s="9" t="inlineStr">
        <x:is>
          <x:t xml:space="preserve">Plancha metálica prepintada</x:t>
        </x:is>
      </x:c>
      <x:c r="Z160" s="9" t="inlineStr">
        <x:is>
          <x:t xml:space="preserve">Melamina</x:t>
        </x:is>
      </x:c>
      <x:c r="AA160" s="9" t="inlineStr">
        <x:is>
          <x:t xml:space="preserve">Radier</x:t>
        </x:is>
      </x:c>
      <x:c r="AB160" s="15" t="n">
        <x:v>5</x:v>
      </x:c>
      <x:c r="AC160" s="15" t="n">
        <x:v>7</x:v>
      </x:c>
      <x:c r="AD160" s="9" t="inlineStr">
        <x:is>
          <x:t xml:space="preserve">Turismo / arriendo</x:t>
        </x:is>
      </x:c>
      <x:c r="AE160" s="9" t="inlineStr">
        <x:is>
          <x:t xml:space="preserve">Centro-sur templado lluvioso</x:t>
        </x:is>
      </x:c>
      <x:c r="AF160" s="10" t="inlineStr">
        <x:is>
          <x:t xml:space="preserve">Criterios de aislación, ventilación y tratamiento anticorrosivo (referencial)</x:t>
        </x:is>
      </x:c>
      <x:c r="AG160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60" s="10" t="inlineStr">
        <x:is>
          <x:t xml:space="preserve">Estructura: Contenedor marítimo acondicionado; muros Estructura container + subestructura interior + revestimiento de 90 mm con aislación Poliuretano proyectado o EPS/Aislapol 40-60 mm (60 mm); cubierta Cubierta metálica container + sobretecho ventilado opcional de 100 mm; ventanas Aluminio termopanel; revestimiento exterior Plancha metálica prepintada; interior Yeso cartón; fundación sugerida Pilotes metálicos.</x:t>
        </x:is>
      </x:c>
    </x:row>
    <x:row r="161" ht="32" customHeight="1">
      <x:c r="A161" s="9" t="inlineStr">
        <x:is>
          <x:t xml:space="preserve">MOD-0160</x:t>
        </x:is>
      </x:c>
      <x:c r="B161" s="9" t="inlineStr">
        <x:is>
          <x:t xml:space="preserve">EMP-032</x:t>
        </x:is>
      </x:c>
      <x:c r="C161" s="9" t="inlineStr">
        <x:is>
          <x:t xml:space="preserve">Rupanco 210</x:t>
        </x:is>
      </x:c>
      <x:c r="D161" s="9" t="inlineStr">
        <x:is>
          <x:t xml:space="preserve">Rupanco</x:t>
        </x:is>
      </x:c>
      <x:c r="E161" s="9" t="inlineStr">
        <x:is>
          <x:t xml:space="preserve">Valle</x:t>
        </x:is>
      </x:c>
      <x:c r="F161" s="9" t="inlineStr">
        <x:is>
          <x:t xml:space="preserve">Sí</x:t>
        </x:is>
      </x:c>
      <x:c r="G161" s="9" t="inlineStr">
        <x:is>
          <x:t xml:space="preserve">HYBRID_MODULAR</x:t>
        </x:is>
      </x:c>
      <x:c r="H161" s="15" t="n">
        <x:v>210</x:v>
      </x:c>
      <x:c r="I161" s="9" t="n">
        <x:v>4</x:v>
      </x:c>
      <x:c r="J161" s="9" t="n">
        <x:v>3</x:v>
      </x:c>
      <x:c r="K161" s="9" t="n">
        <x:v>1</x:v>
      </x:c>
      <x:c r="L161" s="9" t="n">
        <x:v>4</x:v>
      </x:c>
      <x:c r="M161" s="12" t="n">
        <x:v>2.4</x:v>
      </x:c>
      <x:c r="N161" s="9" t="inlineStr">
        <x:is>
          <x:t xml:space="preserve">Estructura híbrida acero-madera panelizada</x:t>
        </x:is>
      </x:c>
      <x:c r="O161" s="10" t="inlineStr">
        <x:is>
          <x:t xml:space="preserve">Acero galvanizado o madera laminada + panel SIP MgO/OSB</x:t>
        </x:is>
      </x:c>
      <x:c r="P161" s="15" t="n">
        <x:v>140</x:v>
      </x:c>
      <x:c r="Q161" s="9" t="inlineStr">
        <x:is>
          <x:t xml:space="preserve">Lana mineral 75-100 mm o EPS integrado</x:t>
        </x:is>
      </x:c>
      <x:c r="R161" s="15" t="n">
        <x:v>100</x:v>
      </x:c>
      <x:c r="S161" s="10" t="inlineStr">
        <x:is>
          <x:t xml:space="preserve">Módulo volumétrico con cubierta panelizada</x:t>
        </x:is>
      </x:c>
      <x:c r="T161" s="15" t="n">
        <x:v>180</x:v>
      </x:c>
      <x:c r="U161" s="10" t="inlineStr">
        <x:is>
          <x:t xml:space="preserve">Lana mineral / EPS / barrera vapor</x:t>
        </x:is>
      </x:c>
      <x:c r="V161" s="9" t="inlineStr">
        <x:is>
          <x:t xml:space="preserve">Bastidor metálico o madera laminada</x:t>
        </x:is>
      </x:c>
      <x:c r="W161" s="10" t="inlineStr">
        <x:is>
          <x:t xml:space="preserve">Lana mineral 80-100 mm + fibrocemento</x:t>
        </x:is>
      </x:c>
      <x:c r="X161" s="9" t="inlineStr">
        <x:is>
          <x:t xml:space="preserve">PVC termopanel</x:t>
        </x:is>
      </x:c>
      <x:c r="Y161" s="9" t="inlineStr">
        <x:is>
          <x:t xml:space="preserve">Madera tratada</x:t>
        </x:is>
      </x:c>
      <x:c r="Z161" s="9" t="inlineStr">
        <x:is>
          <x:t xml:space="preserve">Yeso cartón pintado</x:t>
        </x:is>
      </x:c>
      <x:c r="AA161" s="9" t="inlineStr">
        <x:is>
          <x:t xml:space="preserve">Dados de hormigón</x:t>
        </x:is>
      </x:c>
      <x:c r="AB161" s="15" t="n">
        <x:v>6</x:v>
      </x:c>
      <x:c r="AC161" s="15" t="n">
        <x:v>9</x:v>
      </x:c>
      <x:c r="AD161" s="9" t="inlineStr">
        <x:is>
          <x:t xml:space="preserve">Parcela</x:t>
        </x:is>
      </x:c>
      <x:c r="AE161" s="9" t="inlineStr">
        <x:is>
          <x:t xml:space="preserve">Centro-sur templado lluvioso</x:t>
        </x:is>
      </x:c>
      <x:c r="AF161" s="10" t="inlineStr">
        <x:is>
          <x:t xml:space="preserve">Criterios de prefabricación modular y coordinación BIM (referencial)</x:t>
        </x:is>
      </x:c>
      <x:c r="AG161" s="10" t="inlineStr">
        <x:is>
          <x:t xml:space="preserve">https://modul.cl/construccion-de-casas-prefabricadas-modulares/ | https://tecnofasthome.cl/casas-modulares/</x:t>
        </x:is>
      </x:c>
      <x:c r="AH161" s="10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180 mm; ventanas Aluminio termopanel; revestimiento exterior Plancha metálica; interior Melamina blanca; fundación sugerida Pilotes ajustables.</x:t>
        </x:is>
      </x:c>
    </x:row>
    <x:row r="162" ht="32" customHeight="1">
      <x:c r="A162" s="9" t="inlineStr">
        <x:is>
          <x:t xml:space="preserve">MOD-0161</x:t>
        </x:is>
      </x:c>
      <x:c r="B162" s="9" t="inlineStr">
        <x:is>
          <x:t xml:space="preserve">EMP-033</x:t>
        </x:is>
      </x:c>
      <x:c r="C162" s="9" t="inlineStr">
        <x:is>
          <x:t xml:space="preserve">Colbún 66</x:t>
        </x:is>
      </x:c>
      <x:c r="D162" s="9" t="inlineStr">
        <x:is>
          <x:t xml:space="preserve">Colbún</x:t>
        </x:is>
      </x:c>
      <x:c r="E162" s="9" t="inlineStr">
        <x:is>
          <x:t xml:space="preserve">Valle</x:t>
        </x:is>
      </x:c>
      <x:c r="F162" s="9" t="inlineStr">
        <x:is>
          <x:t xml:space="preserve">Sí</x:t>
        </x:is>
      </x:c>
      <x:c r="G162" s="9" t="inlineStr">
        <x:is>
          <x:t xml:space="preserve">MODULAR_TIMBER</x:t>
        </x:is>
      </x:c>
      <x:c r="H162" s="15" t="n">
        <x:v>66</x:v>
      </x:c>
      <x:c r="I162" s="9" t="n">
        <x:v>2</x:v>
      </x:c>
      <x:c r="J162" s="9" t="n">
        <x:v>2</x:v>
      </x:c>
      <x:c r="K162" s="9" t="n">
        <x:v>1</x:v>
      </x:c>
      <x:c r="L162" s="9" t="n">
        <x:v>2</x:v>
      </x:c>
      <x:c r="M162" s="12" t="n">
        <x:v>2.45</x:v>
      </x:c>
      <x:c r="N162" s="9" t="inlineStr">
        <x:is>
          <x:t xml:space="preserve">Wood frame modular</x:t>
        </x:is>
      </x:c>
      <x:c r="O162" s="10" t="inlineStr">
        <x:is>
          <x:t xml:space="preserve">Madera estructural + OSB / terciado + barrera hidrófuga</x:t>
        </x:is>
      </x:c>
      <x:c r="P162" s="15" t="n">
        <x:v>100</x:v>
      </x:c>
      <x:c r="Q162" s="9" t="inlineStr">
        <x:is>
          <x:t xml:space="preserve">Lana mineral / lana de vidrio / PET reciclado</x:t>
        </x:is>
      </x:c>
      <x:c r="R162" s="15" t="n">
        <x:v>90</x:v>
      </x:c>
      <x:c r="S162" s="10" t="inlineStr">
        <x:is>
          <x:t xml:space="preserve">Cercha de madera + cubierta metálica o tejuela asfáltica</x:t>
        </x:is>
      </x:c>
      <x:c r="T162" s="15" t="n">
        <x:v>180</x:v>
      </x:c>
      <x:c r="U162" s="10" t="inlineStr">
        <x:is>
          <x:t xml:space="preserve">Lana mineral 80-140 mm + membrana</x:t>
        </x:is>
      </x:c>
      <x:c r="V162" s="9" t="inlineStr">
        <x:is>
          <x:t xml:space="preserve">Plataforma de madera estructural o radier</x:t>
        </x:is>
      </x:c>
      <x:c r="W162" s="10" t="inlineStr">
        <x:is>
          <x:t xml:space="preserve">Lana mineral 50-100 mm / barrera humedad</x:t>
        </x:is>
      </x:c>
      <x:c r="X162" s="9" t="inlineStr">
        <x:is>
          <x:t xml:space="preserve">Aluminio termopanel</x:t>
        </x:is>
      </x:c>
      <x:c r="Y162" s="9" t="inlineStr">
        <x:is>
          <x:t xml:space="preserve">Madera tratada</x:t>
        </x:is>
      </x:c>
      <x:c r="Z162" s="9" t="inlineStr">
        <x:is>
          <x:t xml:space="preserve">MDF ranurado</x:t>
        </x:is>
      </x:c>
      <x:c r="AA162" s="9" t="inlineStr">
        <x:is>
          <x:t xml:space="preserve">Fundación corrida</x:t>
        </x:is>
      </x:c>
      <x:c r="AB162" s="15" t="n">
        <x:v>4</x:v>
      </x:c>
      <x:c r="AC162" s="15" t="n">
        <x:v>10</x:v>
      </x:c>
      <x:c r="AD162" s="9" t="inlineStr">
        <x:is>
          <x:t xml:space="preserve">Cabaña permanente</x:t>
        </x:is>
      </x:c>
      <x:c r="AE162" s="9" t="inlineStr">
        <x:is>
          <x:t xml:space="preserve">Centro-sur templado lluvioso</x:t>
        </x:is>
      </x:c>
      <x:c r="AF162" s="10" t="inlineStr">
        <x:is>
          <x:t xml:space="preserve">Especificaciones técnicas de vivienda industrializada en madera (referencial)</x:t>
        </x:is>
      </x:c>
      <x:c r="AG162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62" s="10" t="inlineStr">
        <x:is>
          <x:t xml:space="preserve">Estructura: Wood frame modular; muros Madera estructural + OSB / terciado + barrera hidrófuga de 100 mm con aislación Lana mineral / lana de vidrio / PET reciclado (90 mm); cubierta Cercha de madera + cubierta metálica o tejuela asfáltica de 180 mm; ventanas PVC termopanel; revestimiento exterior Madera tratada; interior MDF ranurado; fundación sugerida Fundación corrida.</x:t>
        </x:is>
      </x:c>
    </x:row>
    <x:row r="163" ht="32" customHeight="1">
      <x:c r="A163" s="9" t="inlineStr">
        <x:is>
          <x:t xml:space="preserve">MOD-0162</x:t>
        </x:is>
      </x:c>
      <x:c r="B163" s="9" t="inlineStr">
        <x:is>
          <x:t xml:space="preserve">EMP-033</x:t>
        </x:is>
      </x:c>
      <x:c r="C163" s="9" t="inlineStr">
        <x:is>
          <x:t xml:space="preserve">Vichuquén 72</x:t>
        </x:is>
      </x:c>
      <x:c r="D163" s="9" t="inlineStr">
        <x:is>
          <x:t xml:space="preserve">Vichuquén</x:t>
        </x:is>
      </x:c>
      <x:c r="E163" s="9" t="inlineStr">
        <x:is>
          <x:t xml:space="preserve">Río</x:t>
        </x:is>
      </x:c>
      <x:c r="F163" s="9" t="inlineStr">
        <x:is>
          <x:t xml:space="preserve">Sí</x:t>
        </x:is>
      </x:c>
      <x:c r="G163" s="9" t="inlineStr">
        <x:is>
          <x:t xml:space="preserve">MODULAR_TIMBER</x:t>
        </x:is>
      </x:c>
      <x:c r="H163" s="15" t="n">
        <x:v>72</x:v>
      </x:c>
      <x:c r="I163" s="9" t="n">
        <x:v>2</x:v>
      </x:c>
      <x:c r="J163" s="9" t="n">
        <x:v>2</x:v>
      </x:c>
      <x:c r="K163" s="9" t="n">
        <x:v>1</x:v>
      </x:c>
      <x:c r="L163" s="9" t="n">
        <x:v>2</x:v>
      </x:c>
      <x:c r="M163" s="12" t="n">
        <x:v>2.5</x:v>
      </x:c>
      <x:c r="N163" s="9" t="inlineStr">
        <x:is>
          <x:t xml:space="preserve">Madera laminada y entramado ligero</x:t>
        </x:is>
      </x:c>
      <x:c r="O163" s="10" t="inlineStr">
        <x:is>
          <x:t xml:space="preserve">Madera estructural + OSB / terciado + barrera hidrófuga</x:t>
        </x:is>
      </x:c>
      <x:c r="P163" s="15" t="n">
        <x:v>140</x:v>
      </x:c>
      <x:c r="Q163" s="9" t="inlineStr">
        <x:is>
          <x:t xml:space="preserve">Lana mineral / lana de vidrio / PET reciclado</x:t>
        </x:is>
      </x:c>
      <x:c r="R163" s="15" t="n">
        <x:v>60</x:v>
      </x:c>
      <x:c r="S163" s="10" t="inlineStr">
        <x:is>
          <x:t xml:space="preserve">Cercha de madera + cubierta metálica o tejuela asfáltica</x:t>
        </x:is>
      </x:c>
      <x:c r="T163" s="15" t="n">
        <x:v>180</x:v>
      </x:c>
      <x:c r="U163" s="10" t="inlineStr">
        <x:is>
          <x:t xml:space="preserve">Lana mineral 80-140 mm + membrana</x:t>
        </x:is>
      </x:c>
      <x:c r="V163" s="9" t="inlineStr">
        <x:is>
          <x:t xml:space="preserve">Plataforma de madera estructural o radier</x:t>
        </x:is>
      </x:c>
      <x:c r="W163" s="10" t="inlineStr">
        <x:is>
          <x:t xml:space="preserve">Lana mineral 50-100 mm / barrera humedad</x:t>
        </x:is>
      </x:c>
      <x:c r="X163" s="9" t="inlineStr">
        <x:is>
          <x:t xml:space="preserve">Aluminio termopanel</x:t>
        </x:is>
      </x:c>
      <x:c r="Y163" s="9" t="inlineStr">
        <x:is>
          <x:t xml:space="preserve">Siding fibrocemento</x:t>
        </x:is>
      </x:c>
      <x:c r="Z163" s="9" t="inlineStr">
        <x:is>
          <x:t xml:space="preserve">Yeso cartón</x:t>
        </x:is>
      </x:c>
      <x:c r="AA163" s="9" t="inlineStr">
        <x:is>
          <x:t xml:space="preserve">Pilotes</x:t>
        </x:is>
      </x:c>
      <x:c r="AB163" s="15" t="n">
        <x:v>8</x:v>
      </x:c>
      <x:c r="AC163" s="15" t="n">
        <x:v>16</x:v>
      </x:c>
      <x:c r="AD163" s="9" t="inlineStr">
        <x:is>
          <x:t xml:space="preserve">Segunda vivienda</x:t>
        </x:is>
      </x:c>
      <x:c r="AE163" s="9" t="inlineStr">
        <x:is>
          <x:t xml:space="preserve">Centro-sur templado lluvioso</x:t>
        </x:is>
      </x:c>
      <x:c r="AF163" s="10" t="inlineStr">
        <x:is>
          <x:t xml:space="preserve">Especificaciones técnicas de vivienda industrializada en madera (referencial)</x:t>
        </x:is>
      </x:c>
      <x:c r="AG163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63" s="10" t="inlineStr">
        <x:is>
          <x:t xml:space="preserve">Estructura: Madera laminada y entramado ligero; muros Madera estructural + OSB / terciado + barrera hidrófuga de 140 mm con aislación Lana mineral / lana de vidrio / PET reciclado (60 mm); cubierta Cercha de madera + cubierta metálica o tejuela asfáltica de 180 mm; ventanas PVC termopanel; revestimiento exterior Siding fibrocemento; interior Yeso cartón; fundación sugerida Radier.</x:t>
        </x:is>
      </x:c>
    </x:row>
    <x:row r="164" ht="32" customHeight="1">
      <x:c r="A164" s="9" t="inlineStr">
        <x:is>
          <x:t xml:space="preserve">MOD-0163</x:t>
        </x:is>
      </x:c>
      <x:c r="B164" s="9" t="inlineStr">
        <x:is>
          <x:t xml:space="preserve">EMP-033</x:t>
        </x:is>
      </x:c>
      <x:c r="C164" s="9" t="inlineStr">
        <x:is>
          <x:t xml:space="preserve">Chapo 80</x:t>
        </x:is>
      </x:c>
      <x:c r="D164" s="9" t="inlineStr">
        <x:is>
          <x:t xml:space="preserve">Chapo</x:t>
        </x:is>
      </x:c>
      <x:c r="E164" s="9" t="inlineStr">
        <x:is>
          <x:t xml:space="preserve">Ciudad</x:t>
        </x:is>
      </x:c>
      <x:c r="F164" s="9" t="inlineStr">
        <x:is>
          <x:t xml:space="preserve">Sí</x:t>
        </x:is>
      </x:c>
      <x:c r="G164" s="9" t="inlineStr">
        <x:is>
          <x:t xml:space="preserve">SIP</x:t>
        </x:is>
      </x:c>
      <x:c r="H164" s="15" t="n">
        <x:v>80</x:v>
      </x:c>
      <x:c r="I164" s="9" t="n">
        <x:v>3</x:v>
      </x:c>
      <x:c r="J164" s="9" t="n">
        <x:v>2</x:v>
      </x:c>
      <x:c r="K164" s="9" t="n">
        <x:v>1</x:v>
      </x:c>
      <x:c r="L164" s="9" t="n">
        <x:v>2</x:v>
      </x:c>
      <x:c r="M164" s="12" t="n">
        <x:v>2.4</x:v>
      </x:c>
      <x:c r="N164" s="9" t="inlineStr">
        <x:is>
          <x:t xml:space="preserve">Panel SIP estructural con uniones en pino seco</x:t>
        </x:is>
      </x:c>
      <x:c r="O164" s="10" t="inlineStr">
        <x:is>
          <x:t xml:space="preserve">2 placas OSB estructural + núcleo EPS alta densidad</x:t>
        </x:is>
      </x:c>
      <x:c r="P164" s="15" t="n">
        <x:v>114</x:v>
      </x:c>
      <x:c r="Q164" s="9" t="inlineStr">
        <x:is>
          <x:t xml:space="preserve">EPS alta densidad 15 kg/m³</x:t>
        </x:is>
      </x:c>
      <x:c r="R164" s="15" t="n">
        <x:v>105</x:v>
      </x:c>
      <x:c r="S164" s="10" t="inlineStr">
        <x:is>
          <x:t xml:space="preserve">Panel SIP de cubierta + membrana hidrófuga + hojalatería</x:t>
        </x:is>
      </x:c>
      <x:c r="T164" s="15" t="n">
        <x:v>164</x:v>
      </x:c>
      <x:c r="U164" s="10" t="inlineStr">
        <x:is>
          <x:t xml:space="preserve">EPS integrado + sellos PU</x:t>
        </x:is>
      </x:c>
      <x:c r="V164" s="9" t="inlineStr">
        <x:is>
          <x:t xml:space="preserve">Base entramado madera o radier con barrera de humedad</x:t>
        </x:is>
      </x:c>
      <x:c r="W164" s="10" t="inlineStr">
        <x:is>
          <x:t xml:space="preserve">Aislación bajo piso PET o lana mineral 50-100 mm</x:t>
        </x:is>
      </x:c>
      <x:c r="X164" s="9" t="inlineStr">
        <x:is>
          <x:t xml:space="preserve">PVC DVH</x:t>
        </x:is>
      </x:c>
      <x:c r="Y164" s="9" t="inlineStr">
        <x:is>
          <x:t xml:space="preserve">Siding fibrocemento</x:t>
        </x:is>
      </x:c>
      <x:c r="Z164" s="9" t="inlineStr">
        <x:is>
          <x:t xml:space="preserve">Yeso cartón pintado</x:t>
        </x:is>
      </x:c>
      <x:c r="AA164" s="9" t="inlineStr">
        <x:is>
          <x:t xml:space="preserve">Sobrecimientos y radier</x:t>
        </x:is>
      </x:c>
      <x:c r="AB164" s="15" t="n">
        <x:v>6</x:v>
      </x:c>
      <x:c r="AC164" s="15" t="n">
        <x:v>6</x:v>
      </x:c>
      <x:c r="AD164" s="9" t="inlineStr">
        <x:is>
          <x:t xml:space="preserve">Parcela</x:t>
        </x:is>
      </x:c>
      <x:c r="AE164" s="9" t="inlineStr">
        <x:is>
          <x:t xml:space="preserve">Centro-sur templado lluvioso</x:t>
        </x:is>
      </x:c>
      <x:c r="AF164" s="10" t="inlineStr">
        <x:is>
          <x:t xml:space="preserve">NCh3393:2016 (referencial para paneles SIP)</x:t>
        </x:is>
      </x:c>
      <x:c r="AG16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64" s="10" t="inlineStr">
        <x:is>
          <x:t xml:space="preserve">Estructura: Panel SIP estructural con uniones en pino seco; muros 2 placas OSB estructural + núcleo EPS alta densidad de 114 mm con aislación EPS alta densidad 15 kg/m³ (105 mm); cubierta Panel SIP de cubierta + membrana hidrófuga + hojalatería de 164 mm; ventanas PVC DVH; revestimiento exterior Smart Panel; interior Yeso cartón pintado; fundación sugerida Sobrecimientos y radier.</x:t>
        </x:is>
      </x:c>
    </x:row>
    <x:row r="165" ht="32" customHeight="1">
      <x:c r="A165" s="9" t="inlineStr">
        <x:is>
          <x:t xml:space="preserve">MOD-0164</x:t>
        </x:is>
      </x:c>
      <x:c r="B165" s="9" t="inlineStr">
        <x:is>
          <x:t xml:space="preserve">EMP-033</x:t>
        </x:is>
      </x:c>
      <x:c r="C165" s="9" t="inlineStr">
        <x:is>
          <x:t xml:space="preserve">Maihue 132</x:t>
        </x:is>
      </x:c>
      <x:c r="D165" s="9" t="inlineStr">
        <x:is>
          <x:t xml:space="preserve">Maihue</x:t>
        </x:is>
      </x:c>
      <x:c r="E165" s="9" t="inlineStr">
        <x:is>
          <x:t xml:space="preserve">Comuna</x:t>
        </x:is>
      </x:c>
      <x:c r="F165" s="9" t="inlineStr">
        <x:is>
          <x:t xml:space="preserve">Sí</x:t>
        </x:is>
      </x:c>
      <x:c r="G165" s="9" t="inlineStr">
        <x:is>
          <x:t xml:space="preserve">HYBRID_MODULAR</x:t>
        </x:is>
      </x:c>
      <x:c r="H165" s="15" t="n">
        <x:v>132</x:v>
      </x:c>
      <x:c r="I165" s="9" t="n">
        <x:v>3</x:v>
      </x:c>
      <x:c r="J165" s="9" t="n">
        <x:v>2</x:v>
      </x:c>
      <x:c r="K165" s="9" t="n">
        <x:v>1</x:v>
      </x:c>
      <x:c r="L165" s="9" t="n">
        <x:v>3</x:v>
      </x:c>
      <x:c r="M165" s="12" t="n">
        <x:v>2.35</x:v>
      </x:c>
      <x:c r="N165" s="9" t="inlineStr">
        <x:is>
          <x:t xml:space="preserve">Módulos de acero + paneles SIP</x:t>
        </x:is>
      </x:c>
      <x:c r="O165" s="10" t="inlineStr">
        <x:is>
          <x:t xml:space="preserve">Acero galvanizado o madera laminada + panel SIP MgO/OSB</x:t>
        </x:is>
      </x:c>
      <x:c r="P165" s="15" t="n">
        <x:v>120</x:v>
      </x:c>
      <x:c r="Q165" s="9" t="inlineStr">
        <x:is>
          <x:t xml:space="preserve">Lana mineral 75-100 mm o EPS integrado</x:t>
        </x:is>
      </x:c>
      <x:c r="R165" s="15" t="n">
        <x:v>90</x:v>
      </x:c>
      <x:c r="S165" s="10" t="inlineStr">
        <x:is>
          <x:t xml:space="preserve">Módulo volumétrico con cubierta panelizada</x:t>
        </x:is>
      </x:c>
      <x:c r="T165" s="15" t="n">
        <x:v>140</x:v>
      </x:c>
      <x:c r="U165" s="10" t="inlineStr">
        <x:is>
          <x:t xml:space="preserve">Lana mineral / EPS / barrera vapor</x:t>
        </x:is>
      </x:c>
      <x:c r="V165" s="9" t="inlineStr">
        <x:is>
          <x:t xml:space="preserve">Bastidor metálico o madera laminada</x:t>
        </x:is>
      </x:c>
      <x:c r="W165" s="10" t="inlineStr">
        <x:is>
          <x:t xml:space="preserve">Lana mineral 80-100 mm + fibrocemento</x:t>
        </x:is>
      </x:c>
      <x:c r="X165" s="9" t="inlineStr">
        <x:is>
          <x:t xml:space="preserve">PVC termopanel</x:t>
        </x:is>
      </x:c>
      <x:c r="Y165" s="9" t="inlineStr">
        <x:is>
          <x:t xml:space="preserve">Plancha metálica</x:t>
        </x:is>
      </x:c>
      <x:c r="Z165" s="9" t="inlineStr">
        <x:is>
          <x:t xml:space="preserve">Melamina blanca</x:t>
        </x:is>
      </x:c>
      <x:c r="AA165" s="9" t="inlineStr">
        <x:is>
          <x:t xml:space="preserve">Pilotes ajustables</x:t>
        </x:is>
      </x:c>
      <x:c r="AB165" s="15" t="n">
        <x:v>6</x:v>
      </x:c>
      <x:c r="AC165" s="15" t="n">
        <x:v>8</x:v>
      </x:c>
      <x:c r="AD165" s="9" t="inlineStr">
        <x:is>
          <x:t xml:space="preserve">Parcela</x:t>
        </x:is>
      </x:c>
      <x:c r="AE165" s="9" t="inlineStr">
        <x:is>
          <x:t xml:space="preserve">Centro-sur templado lluvioso</x:t>
        </x:is>
      </x:c>
      <x:c r="AF165" s="10" t="inlineStr">
        <x:is>
          <x:t xml:space="preserve">Criterios de prefabricación modular y coordinación BIM (referencial)</x:t>
        </x:is>
      </x:c>
      <x:c r="AG165" s="10" t="inlineStr">
        <x:is>
          <x:t xml:space="preserve">https://modul.cl/construccion-de-casas-prefabricadas-modulares/ | https://tecnofasthome.cl/casas-modulares/</x:t>
        </x:is>
      </x:c>
      <x:c r="AH165" s="10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140 mm; ventanas Aluminio termopanel; revestimiento exterior Madera tratada; interior Melamina blanca; fundación sugerida Radier.</x:t>
        </x:is>
      </x:c>
    </x:row>
    <x:row r="166" ht="32" customHeight="1">
      <x:c r="A166" s="9" t="inlineStr">
        <x:is>
          <x:t xml:space="preserve">MOD-0165</x:t>
        </x:is>
      </x:c>
      <x:c r="B166" s="9" t="inlineStr">
        <x:is>
          <x:t xml:space="preserve">EMP-033</x:t>
        </x:is>
      </x:c>
      <x:c r="C166" s="9" t="inlineStr">
        <x:is>
          <x:t xml:space="preserve">Panguipulli 210</x:t>
        </x:is>
      </x:c>
      <x:c r="D166" s="9" t="inlineStr">
        <x:is>
          <x:t xml:space="preserve">Panguipulli</x:t>
        </x:is>
      </x:c>
      <x:c r="E166" s="9" t="inlineStr">
        <x:is>
          <x:t xml:space="preserve">Volcán</x:t>
        </x:is>
      </x:c>
      <x:c r="F166" s="9" t="inlineStr">
        <x:is>
          <x:t xml:space="preserve">Sí</x:t>
        </x:is>
      </x:c>
      <x:c r="G166" s="9" t="inlineStr">
        <x:is>
          <x:t xml:space="preserve">STEEL_FRAME</x:t>
        </x:is>
      </x:c>
      <x:c r="H166" s="15" t="n">
        <x:v>210</x:v>
      </x:c>
      <x:c r="I166" s="9" t="n">
        <x:v>4</x:v>
      </x:c>
      <x:c r="J166" s="9" t="n">
        <x:v>3</x:v>
      </x:c>
      <x:c r="K166" s="9" t="n">
        <x:v>1</x:v>
      </x:c>
      <x:c r="L166" s="9" t="n">
        <x:v>4</x:v>
      </x:c>
      <x:c r="M166" s="12" t="n">
        <x:v>2.45</x:v>
      </x:c>
      <x:c r="N166" s="9" t="inlineStr">
        <x:is>
          <x:t xml:space="preserve">Perfilería de acero galvanizado liviano</x:t>
        </x:is>
      </x:c>
      <x:c r="O166" s="10" t="inlineStr">
        <x:is>
          <x:t xml:space="preserve">Acero galvanizado + placa OSB/fibrocemento + cámara técnica</x:t>
        </x:is>
      </x:c>
      <x:c r="P166" s="15" t="n">
        <x:v>90</x:v>
      </x:c>
      <x:c r="Q166" s="9" t="inlineStr">
        <x:is>
          <x:t xml:space="preserve">Lana mineral o lana de roca / PET / EPS según zona térmica</x:t>
        </x:is>
      </x:c>
      <x:c r="R166" s="15" t="n">
        <x:v>60</x:v>
      </x:c>
      <x:c r="S166" s="10" t="inlineStr">
        <x:is>
          <x:t xml:space="preserve">Cerchas o paneles steel frame + cubierta metálica</x:t>
        </x:is>
      </x:c>
      <x:c r="T166" s="15" t="n">
        <x:v>180</x:v>
      </x:c>
      <x:c r="U166" s="10" t="inlineStr">
        <x:is>
          <x:t xml:space="preserve">Lana mineral / lana de roca + barrera de vapor</x:t>
        </x:is>
      </x:c>
      <x:c r="V166" s="9" t="inlineStr">
        <x:is>
          <x:t xml:space="preserve">Envigado metálico o plataforma estructural</x:t>
        </x:is>
      </x:c>
      <x:c r="W166" s="10" t="inlineStr">
        <x:is>
          <x:t xml:space="preserve">Lana mineral 50-100 mm + placas estructurales</x:t>
        </x:is>
      </x:c>
      <x:c r="X166" s="9" t="inlineStr">
        <x:is>
          <x:t xml:space="preserve">PVC termopanel</x:t>
        </x:is>
      </x:c>
      <x:c r="Y166" s="9" t="inlineStr">
        <x:is>
          <x:t xml:space="preserve">Siding fibrocemento</x:t>
        </x:is>
      </x:c>
      <x:c r="Z166" s="9" t="inlineStr">
        <x:is>
          <x:t xml:space="preserve">Yeso cartón RF</x:t>
        </x:is>
      </x:c>
      <x:c r="AA166" s="9" t="inlineStr">
        <x:is>
          <x:t xml:space="preserve">Pilotes</x:t>
        </x:is>
      </x:c>
      <x:c r="AB166" s="15" t="n">
        <x:v>5</x:v>
      </x:c>
      <x:c r="AC166" s="15" t="n">
        <x:v>9</x:v>
      </x:c>
      <x:c r="AD166" s="9" t="inlineStr">
        <x:is>
          <x:t xml:space="preserve">Loteo habitacional</x:t>
        </x:is>
      </x:c>
      <x:c r="AE166" s="9" t="inlineStr">
        <x:is>
          <x:t xml:space="preserve">Centro-sur templado lluvioso</x:t>
        </x:is>
      </x:c>
      <x:c r="AF166" s="10" t="inlineStr">
        <x:is>
          <x:t xml:space="preserve">Criterio térmico referencial OGUC / reglamentación térmica vigente</x:t>
        </x:is>
      </x:c>
      <x:c r="AG166" s="10" t="inlineStr">
        <x:is>
          <x:t xml:space="preserve">https://www.steelframe.cl/ | https://vhaceros.cl/blog/steel-framing-principios-estructurales-y-ventajas-en-la-construccion-chilena/</x:t>
        </x:is>
      </x:c>
      <x:c r="AH166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(60 mm); cubierta Cerchas o paneles steel frame + cubierta metálica de 180 mm; ventanas Aluminio RPT termopanel; revestimiento exterior Siding fibrocemento; interior Yeso cartón; fundación sugerida Pilotes.</x:t>
        </x:is>
      </x:c>
    </x:row>
    <x:row r="167" ht="32" customHeight="1">
      <x:c r="A167" s="9" t="inlineStr">
        <x:is>
          <x:t xml:space="preserve">MOD-0166</x:t>
        </x:is>
      </x:c>
      <x:c r="B167" s="9" t="inlineStr">
        <x:is>
          <x:t xml:space="preserve">EMP-034</x:t>
        </x:is>
      </x:c>
      <x:c r="C167" s="9" t="inlineStr">
        <x:is>
          <x:t xml:space="preserve">Riñihue 66</x:t>
        </x:is>
      </x:c>
      <x:c r="D167" s="9" t="inlineStr">
        <x:is>
          <x:t xml:space="preserve">Riñihue</x:t>
        </x:is>
      </x:c>
      <x:c r="E167" s="9" t="inlineStr">
        <x:is>
          <x:t xml:space="preserve">Lago</x:t>
        </x:is>
      </x:c>
      <x:c r="F167" s="9" t="inlineStr">
        <x:is>
          <x:t xml:space="preserve">Sí</x:t>
        </x:is>
      </x:c>
      <x:c r="G167" s="9" t="inlineStr">
        <x:is>
          <x:t xml:space="preserve">CONTAINER</x:t>
        </x:is>
      </x:c>
      <x:c r="H167" s="15" t="n">
        <x:v>66</x:v>
      </x:c>
      <x:c r="I167" s="9" t="n">
        <x:v>2</x:v>
      </x:c>
      <x:c r="J167" s="9" t="n">
        <x:v>2</x:v>
      </x:c>
      <x:c r="K167" s="9" t="n">
        <x:v>1</x:v>
      </x:c>
      <x:c r="L167" s="9" t="n">
        <x:v>2</x:v>
      </x:c>
      <x:c r="M167" s="12" t="n">
        <x:v>2.5</x:v>
      </x:c>
      <x:c r="N167" s="9" t="inlineStr">
        <x:is>
          <x:t xml:space="preserve">Contenedor marítimo acondicionado</x:t>
        </x:is>
      </x:c>
      <x:c r="O167" s="10" t="inlineStr">
        <x:is>
          <x:t xml:space="preserve">Estructura container + subestructura interior + revestimiento</x:t>
        </x:is>
      </x:c>
      <x:c r="P167" s="15" t="n">
        <x:v>140</x:v>
      </x:c>
      <x:c r="Q167" s="9" t="inlineStr">
        <x:is>
          <x:t xml:space="preserve">Poliuretano proyectado o EPS/Aislapol 40-60 mm</x:t>
        </x:is>
      </x:c>
      <x:c r="R167" s="15" t="n">
        <x:v>60</x:v>
      </x:c>
      <x:c r="S167" s="10" t="inlineStr">
        <x:is>
          <x:t xml:space="preserve">Cubierta metálica container + sobretecho ventilado opcional</x:t>
        </x:is>
      </x:c>
      <x:c r="T167" s="15" t="n">
        <x:v>120</x:v>
      </x:c>
      <x:c r="U167" s="10" t="inlineStr">
        <x:is>
          <x:t xml:space="preserve">Poliuretano / EPS + barrera anticondensación</x:t>
        </x:is>
      </x:c>
      <x:c r="V167" s="9" t="inlineStr">
        <x:is>
          <x:t xml:space="preserve">Piso terciado 18 mm o base original acondicionada + vinílico</x:t>
        </x:is>
      </x:c>
      <x:c r="W167" s="10" t="inlineStr">
        <x:is>
          <x:t xml:space="preserve">Aislación bajo piso 40-80 mm</x:t>
        </x:is>
      </x:c>
      <x:c r="X167" s="9" t="inlineStr">
        <x:is>
          <x:t xml:space="preserve">Aluminio termopanel</x:t>
        </x:is>
      </x:c>
      <x:c r="Y167" s="9" t="inlineStr">
        <x:is>
          <x:t xml:space="preserve">Acero galvanizado pintado</x:t>
        </x:is>
      </x:c>
      <x:c r="Z167" s="9" t="inlineStr">
        <x:is>
          <x:t xml:space="preserve">Madera pintada</x:t>
        </x:is>
      </x:c>
      <x:c r="AA167" s="9" t="inlineStr">
        <x:is>
          <x:t xml:space="preserve">Dados de hormigón</x:t>
        </x:is>
      </x:c>
      <x:c r="AB167" s="15" t="n">
        <x:v>5</x:v>
      </x:c>
      <x:c r="AC167" s="15" t="n">
        <x:v>5</x:v>
      </x:c>
      <x:c r="AD167" s="9" t="inlineStr">
        <x:is>
          <x:t xml:space="preserve">Segunda vivienda</x:t>
        </x:is>
      </x:c>
      <x:c r="AE167" s="9" t="inlineStr">
        <x:is>
          <x:t xml:space="preserve">Sur lluvioso</x:t>
        </x:is>
      </x:c>
      <x:c r="AF167" s="10" t="inlineStr">
        <x:is>
          <x:t xml:space="preserve">Criterios de aislación, ventilación y tratamiento anticorrosivo (referencial)</x:t>
        </x:is>
      </x:c>
      <x:c r="AG167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67" s="10" t="inlineStr">
        <x:is>
          <x:t xml:space="preserve">Estructura: Contenedor marítimo acondicionado; muros Estructura container + subestructura interior + revestimiento de 140 mm con aislación Poliuretano proyectado o EPS/Aislapol 40-60 mm (60 mm); cubierta Cubierta metálica container + sobretecho ventilado opcional de 120 mm; ventanas PVC termopanel; revestimiento exterior Madera tratada ventilada; interior Yeso cartón; fundación sugerida Dados de hormigón.</x:t>
        </x:is>
      </x:c>
    </x:row>
    <x:row r="168" ht="32" customHeight="1">
      <x:c r="A168" s="9" t="inlineStr">
        <x:is>
          <x:t xml:space="preserve">MOD-0167</x:t>
        </x:is>
      </x:c>
      <x:c r="B168" s="9" t="inlineStr">
        <x:is>
          <x:t xml:space="preserve">EMP-034</x:t>
        </x:is>
      </x:c>
      <x:c r="C168" s="9" t="inlineStr">
        <x:is>
          <x:t xml:space="preserve">Laja 112</x:t>
        </x:is>
      </x:c>
      <x:c r="D168" s="9" t="inlineStr">
        <x:is>
          <x:t xml:space="preserve">Laja</x:t>
        </x:is>
      </x:c>
      <x:c r="E168" s="9" t="inlineStr">
        <x:is>
          <x:t xml:space="preserve">Valle</x:t>
        </x:is>
      </x:c>
      <x:c r="F168" s="9" t="inlineStr">
        <x:is>
          <x:t xml:space="preserve">Sí</x:t>
        </x:is>
      </x:c>
      <x:c r="G168" s="9" t="inlineStr">
        <x:is>
          <x:t xml:space="preserve">CONTAINER</x:t>
        </x:is>
      </x:c>
      <x:c r="H168" s="15" t="n">
        <x:v>112</x:v>
      </x:c>
      <x:c r="I168" s="9" t="n">
        <x:v>3</x:v>
      </x:c>
      <x:c r="J168" s="9" t="n">
        <x:v>2</x:v>
      </x:c>
      <x:c r="K168" s="9" t="n">
        <x:v>1</x:v>
      </x:c>
      <x:c r="L168" s="9" t="n">
        <x:v>3</x:v>
      </x:c>
      <x:c r="M168" s="12" t="n">
        <x:v>2.35</x:v>
      </x:c>
      <x:c r="N168" s="9" t="inlineStr">
        <x:is>
          <x:t xml:space="preserve">Contenedor marítimo acondicionado</x:t>
        </x:is>
      </x:c>
      <x:c r="O168" s="10" t="inlineStr">
        <x:is>
          <x:t xml:space="preserve">Estructura container + subestructura interior + revestimiento</x:t>
        </x:is>
      </x:c>
      <x:c r="P168" s="15" t="n">
        <x:v>90</x:v>
      </x:c>
      <x:c r="Q168" s="9" t="inlineStr">
        <x:is>
          <x:t xml:space="preserve">Poliuretano proyectado o EPS/Aislapol 40-60 mm</x:t>
        </x:is>
      </x:c>
      <x:c r="R168" s="15" t="n">
        <x:v>60</x:v>
      </x:c>
      <x:c r="S168" s="10" t="inlineStr">
        <x:is>
          <x:t xml:space="preserve">Cubierta metálica container + sobretecho ventilado opcional</x:t>
        </x:is>
      </x:c>
      <x:c r="T168" s="15" t="n">
        <x:v>120</x:v>
      </x:c>
      <x:c r="U168" s="10" t="inlineStr">
        <x:is>
          <x:t xml:space="preserve">Poliuretano / EPS + barrera anticondensación</x:t>
        </x:is>
      </x:c>
      <x:c r="V168" s="9" t="inlineStr">
        <x:is>
          <x:t xml:space="preserve">Piso terciado 18 mm o base original acondicionada + vinílico</x:t>
        </x:is>
      </x:c>
      <x:c r="W168" s="10" t="inlineStr">
        <x:is>
          <x:t xml:space="preserve">Aislación bajo piso 40-80 mm</x:t>
        </x:is>
      </x:c>
      <x:c r="X168" s="9" t="inlineStr">
        <x:is>
          <x:t xml:space="preserve">Aluminio termopanel</x:t>
        </x:is>
      </x:c>
      <x:c r="Y168" s="9" t="inlineStr">
        <x:is>
          <x:t xml:space="preserve">Plancha metálica prepintada</x:t>
        </x:is>
      </x:c>
      <x:c r="Z168" s="9" t="inlineStr">
        <x:is>
          <x:t xml:space="preserve">Melamina</x:t>
        </x:is>
      </x:c>
      <x:c r="AA168" s="9" t="inlineStr">
        <x:is>
          <x:t xml:space="preserve">Dados de hormigón</x:t>
        </x:is>
      </x:c>
      <x:c r="AB168" s="15" t="n">
        <x:v>4</x:v>
      </x:c>
      <x:c r="AC168" s="15" t="n">
        <x:v>2</x:v>
      </x:c>
      <x:c r="AD168" s="9" t="inlineStr">
        <x:is>
          <x:t xml:space="preserve">Turismo / arriendo</x:t>
        </x:is>
      </x:c>
      <x:c r="AE168" s="9" t="inlineStr">
        <x:is>
          <x:t xml:space="preserve">Sur lluvioso</x:t>
        </x:is>
      </x:c>
      <x:c r="AF168" s="10" t="inlineStr">
        <x:is>
          <x:t xml:space="preserve">Criterios de aislación, ventilación y tratamiento anticorrosivo (referencial)</x:t>
        </x:is>
      </x:c>
      <x:c r="AG168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68" s="10" t="inlineStr">
        <x:is>
          <x:t xml:space="preserve">Estructura: Módulo habitacional de acero galvanizado / corten; muros Estructura container + subestructura interior + revestimiento de 90 mm con aislación Poliuretano proyectado o EPS/Aislapol 40-60 mm (60 mm); cubierta Cubierta metálica container + sobretecho ventilado opcional de 120 mm; ventanas Aluminio termopanel; revestimiento exterior Madera tratada ventilada; interior Madera pintada; fundación sugerida Pilotes metálicos.</x:t>
        </x:is>
      </x:c>
    </x:row>
    <x:row r="169" ht="32" customHeight="1">
      <x:c r="A169" s="9" t="inlineStr">
        <x:is>
          <x:t xml:space="preserve">MOD-0168</x:t>
        </x:is>
      </x:c>
      <x:c r="B169" s="9" t="inlineStr">
        <x:is>
          <x:t xml:space="preserve">EMP-034</x:t>
        </x:is>
      </x:c>
      <x:c r="C169" s="9" t="inlineStr">
        <x:is>
          <x:t xml:space="preserve">Chungará 72</x:t>
        </x:is>
      </x:c>
      <x:c r="D169" s="9" t="inlineStr">
        <x:is>
          <x:t xml:space="preserve">Chungará</x:t>
        </x:is>
      </x:c>
      <x:c r="E169" s="9" t="inlineStr">
        <x:is>
          <x:t xml:space="preserve">Archipiélago</x:t>
        </x:is>
      </x:c>
      <x:c r="F169" s="9" t="inlineStr">
        <x:is>
          <x:t xml:space="preserve">Sí</x:t>
        </x:is>
      </x:c>
      <x:c r="G169" s="9" t="inlineStr">
        <x:is>
          <x:t xml:space="preserve">HYBRID_MODULAR</x:t>
        </x:is>
      </x:c>
      <x:c r="H169" s="15" t="n">
        <x:v>72</x:v>
      </x:c>
      <x:c r="I169" s="9" t="n">
        <x:v>2</x:v>
      </x:c>
      <x:c r="J169" s="9" t="n">
        <x:v>2</x:v>
      </x:c>
      <x:c r="K169" s="9" t="n">
        <x:v>1</x:v>
      </x:c>
      <x:c r="L169" s="9" t="n">
        <x:v>2</x:v>
      </x:c>
      <x:c r="M169" s="12" t="n">
        <x:v>2.35</x:v>
      </x:c>
      <x:c r="N169" s="9" t="inlineStr">
        <x:is>
          <x:t xml:space="preserve">Estructura híbrida acero-madera panelizada</x:t>
        </x:is>
      </x:c>
      <x:c r="O169" s="10" t="inlineStr">
        <x:is>
          <x:t xml:space="preserve">Acero galvanizado o madera laminada + panel SIP MgO/OSB</x:t>
        </x:is>
      </x:c>
      <x:c r="P169" s="15" t="n">
        <x:v>160</x:v>
      </x:c>
      <x:c r="Q169" s="9" t="inlineStr">
        <x:is>
          <x:t xml:space="preserve">Lana mineral 75-100 mm o EPS integrado</x:t>
        </x:is>
      </x:c>
      <x:c r="R169" s="15" t="n">
        <x:v>90</x:v>
      </x:c>
      <x:c r="S169" s="10" t="inlineStr">
        <x:is>
          <x:t xml:space="preserve">Módulo volumétrico con cubierta panelizada</x:t>
        </x:is>
      </x:c>
      <x:c r="T169" s="15" t="n">
        <x:v>160</x:v>
      </x:c>
      <x:c r="U169" s="10" t="inlineStr">
        <x:is>
          <x:t xml:space="preserve">Lana mineral / EPS / barrera vapor</x:t>
        </x:is>
      </x:c>
      <x:c r="V169" s="9" t="inlineStr">
        <x:is>
          <x:t xml:space="preserve">Bastidor metálico o madera laminada</x:t>
        </x:is>
      </x:c>
      <x:c r="W169" s="10" t="inlineStr">
        <x:is>
          <x:t xml:space="preserve">Lana mineral 80-100 mm + fibrocemento</x:t>
        </x:is>
      </x:c>
      <x:c r="X169" s="9" t="inlineStr">
        <x:is>
          <x:t xml:space="preserve">Aluminio termopanel</x:t>
        </x:is>
      </x:c>
      <x:c r="Y169" s="9" t="inlineStr">
        <x:is>
          <x:t xml:space="preserve">Plancha metálica</x:t>
        </x:is>
      </x:c>
      <x:c r="Z169" s="9" t="inlineStr">
        <x:is>
          <x:t xml:space="preserve">Yeso cartón pintado</x:t>
        </x:is>
      </x:c>
      <x:c r="AA169" s="9" t="inlineStr">
        <x:is>
          <x:t xml:space="preserve">Dados de hormigón</x:t>
        </x:is>
      </x:c>
      <x:c r="AB169" s="15" t="n">
        <x:v>5</x:v>
      </x:c>
      <x:c r="AC169" s="15" t="n">
        <x:v>8</x:v>
      </x:c>
      <x:c r="AD169" s="9" t="inlineStr">
        <x:is>
          <x:t xml:space="preserve">Oficina + vivienda</x:t>
        </x:is>
      </x:c>
      <x:c r="AE169" s="9" t="inlineStr">
        <x:is>
          <x:t xml:space="preserve">Sur lluvioso</x:t>
        </x:is>
      </x:c>
      <x:c r="AF169" s="10" t="inlineStr">
        <x:is>
          <x:t xml:space="preserve">Criterios de prefabricación modular y coordinación BIM (referencial)</x:t>
        </x:is>
      </x:c>
      <x:c r="AG169" s="10" t="inlineStr">
        <x:is>
          <x:t xml:space="preserve">https://modul.cl/construccion-de-casas-prefabricadas-modulares/ | https://tecnofasthome.cl/casas-modulares/</x:t>
        </x:is>
      </x:c>
      <x:c r="AH169" s="10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160 mm; ventanas Aluminio termopanel; revestimiento exterior Plancha metálica; interior Yeso cartón pintado; fundación sugerida Pilotes ajustables.</x:t>
        </x:is>
      </x:c>
    </x:row>
    <x:row r="170" ht="32" customHeight="1">
      <x:c r="A170" s="9" t="inlineStr">
        <x:is>
          <x:t xml:space="preserve">MOD-0169</x:t>
        </x:is>
      </x:c>
      <x:c r="B170" s="9" t="inlineStr">
        <x:is>
          <x:t xml:space="preserve">EMP-034</x:t>
        </x:is>
      </x:c>
      <x:c r="C170" s="9" t="inlineStr">
        <x:is>
          <x:t xml:space="preserve">Peñuelas 144</x:t>
        </x:is>
      </x:c>
      <x:c r="D170" s="9" t="inlineStr">
        <x:is>
          <x:t xml:space="preserve">Peñuelas</x:t>
        </x:is>
      </x:c>
      <x:c r="E170" s="9" t="inlineStr">
        <x:is>
          <x:t xml:space="preserve">Volcán</x:t>
        </x:is>
      </x:c>
      <x:c r="F170" s="9" t="inlineStr">
        <x:is>
          <x:t xml:space="preserve">Sí</x:t>
        </x:is>
      </x:c>
      <x:c r="G170" s="9" t="inlineStr">
        <x:is>
          <x:t xml:space="preserve">SIP</x:t>
        </x:is>
      </x:c>
      <x:c r="H170" s="15" t="n">
        <x:v>144</x:v>
      </x:c>
      <x:c r="I170" s="9" t="n">
        <x:v>4</x:v>
      </x:c>
      <x:c r="J170" s="9" t="n">
        <x:v>3</x:v>
      </x:c>
      <x:c r="K170" s="9" t="n">
        <x:v>1</x:v>
      </x:c>
      <x:c r="L170" s="9" t="n">
        <x:v>4</x:v>
      </x:c>
      <x:c r="M170" s="12" t="n">
        <x:v>2.4</x:v>
      </x:c>
      <x:c r="N170" s="9" t="inlineStr">
        <x:is>
          <x:t xml:space="preserve">Panel SIP estructural con uniones en pino seco</x:t>
        </x:is>
      </x:c>
      <x:c r="O170" s="10" t="inlineStr">
        <x:is>
          <x:t xml:space="preserve">2 placas OSB estructural + núcleo EPS alta densidad</x:t>
        </x:is>
      </x:c>
      <x:c r="P170" s="15" t="n">
        <x:v>130</x:v>
      </x:c>
      <x:c r="Q170" s="9" t="inlineStr">
        <x:is>
          <x:t xml:space="preserve">EPS alta densidad 15 kg/m³</x:t>
        </x:is>
      </x:c>
      <x:c r="R170" s="15" t="n">
        <x:v>53</x:v>
      </x:c>
      <x:c r="S170" s="10" t="inlineStr">
        <x:is>
          <x:t xml:space="preserve">Panel SIP de cubierta + membrana hidrófuga + hojalatería</x:t>
        </x:is>
      </x:c>
      <x:c r="T170" s="15" t="n">
        <x:v>164</x:v>
      </x:c>
      <x:c r="U170" s="10" t="inlineStr">
        <x:is>
          <x:t xml:space="preserve">EPS integrado + sellos PU</x:t>
        </x:is>
      </x:c>
      <x:c r="V170" s="9" t="inlineStr">
        <x:is>
          <x:t xml:space="preserve">Base entramado madera o radier con barrera de humedad</x:t>
        </x:is>
      </x:c>
      <x:c r="W170" s="10" t="inlineStr">
        <x:is>
          <x:t xml:space="preserve">Aislación bajo piso PET o lana mineral 50-100 mm</x:t>
        </x:is>
      </x:c>
      <x:c r="X170" s="9" t="inlineStr">
        <x:is>
          <x:t xml:space="preserve">PVC DVH</x:t>
        </x:is>
      </x:c>
      <x:c r="Y170" s="9" t="inlineStr">
        <x:is>
          <x:t xml:space="preserve">Smart Panel</x:t>
        </x:is>
      </x:c>
      <x:c r="Z170" s="9" t="inlineStr">
        <x:is>
          <x:t xml:space="preserve">MDF en zonas secas</x:t>
        </x:is>
      </x:c>
      <x:c r="AA170" s="9" t="inlineStr">
        <x:is>
          <x:t xml:space="preserve">Sobrecimientos y radier</x:t>
        </x:is>
      </x:c>
      <x:c r="AB170" s="15" t="n">
        <x:v>7</x:v>
      </x:c>
      <x:c r="AC170" s="15" t="n">
        <x:v>5</x:v>
      </x:c>
      <x:c r="AD170" s="9" t="inlineStr">
        <x:is>
          <x:t xml:space="preserve">Parcela</x:t>
        </x:is>
      </x:c>
      <x:c r="AE170" s="9" t="inlineStr">
        <x:is>
          <x:t xml:space="preserve">Sur lluvioso</x:t>
        </x:is>
      </x:c>
      <x:c r="AF170" s="10" t="inlineStr">
        <x:is>
          <x:t xml:space="preserve">NCh3393:2016 (referencial para paneles SIP)</x:t>
        </x:is>
      </x:c>
      <x:c r="AG170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0" s="10" t="inlineStr">
        <x:is>
          <x:t xml:space="preserve">Estructura: Panel SIP estructural con uniones en pino seco; muros 2 placas OSB estructural + núcleo EPS alta densidad de 130 mm con aislación EPS alta densidad 15 kg/m³ (53 mm); cubierta Panel SIP de cubierta + membrana hidrófuga + hojalatería de 164 mm; ventanas PVC termopanel; revestimiento exterior Siding fibrocemento; interior Yeso cartón RH en zonas húmedas; fundación sugerida Pilotes metálicos.</x:t>
        </x:is>
      </x:c>
    </x:row>
    <x:row r="171" ht="32" customHeight="1">
      <x:c r="A171" s="9" t="inlineStr">
        <x:is>
          <x:t xml:space="preserve">MOD-0170</x:t>
        </x:is>
      </x:c>
      <x:c r="B171" s="9" t="inlineStr">
        <x:is>
          <x:t xml:space="preserve">EMP-034</x:t>
        </x:is>
      </x:c>
      <x:c r="C171" s="9" t="inlineStr">
        <x:is>
          <x:t xml:space="preserve">Yungay 176</x:t>
        </x:is>
      </x:c>
      <x:c r="D171" s="9" t="inlineStr">
        <x:is>
          <x:t xml:space="preserve">Yungay</x:t>
        </x:is>
      </x:c>
      <x:c r="E171" s="9" t="inlineStr">
        <x:is>
          <x:t xml:space="preserve">Río</x:t>
        </x:is>
      </x:c>
      <x:c r="F171" s="9" t="inlineStr">
        <x:is>
          <x:t xml:space="preserve">Sí</x:t>
        </x:is>
      </x:c>
      <x:c r="G171" s="9" t="inlineStr">
        <x:is>
          <x:t xml:space="preserve">STEEL_FRAME</x:t>
        </x:is>
      </x:c>
      <x:c r="H171" s="15" t="n">
        <x:v>176</x:v>
      </x:c>
      <x:c r="I171" s="9" t="n">
        <x:v>4</x:v>
      </x:c>
      <x:c r="J171" s="9" t="n">
        <x:v>3</x:v>
      </x:c>
      <x:c r="K171" s="9" t="n">
        <x:v>1</x:v>
      </x:c>
      <x:c r="L171" s="9" t="n">
        <x:v>4</x:v>
      </x:c>
      <x:c r="M171" s="12" t="n">
        <x:v>2.5</x:v>
      </x:c>
      <x:c r="N171" s="9" t="inlineStr">
        <x:is>
          <x:t xml:space="preserve">Perfilería de acero galvanizado liviano</x:t>
        </x:is>
      </x:c>
      <x:c r="O171" s="10" t="inlineStr">
        <x:is>
          <x:t xml:space="preserve">Acero galvanizado + placa OSB/fibrocemento + cámara técnica</x:t>
        </x:is>
      </x:c>
      <x:c r="P171" s="15" t="n">
        <x:v>160</x:v>
      </x:c>
      <x:c r="Q171" s="9" t="inlineStr">
        <x:is>
          <x:t xml:space="preserve">Lana mineral o lana de roca / PET / EPS según zona térmica</x:t>
        </x:is>
      </x:c>
      <x:c r="R171" s="15" t="n">
        <x:v>80</x:v>
      </x:c>
      <x:c r="S171" s="10" t="inlineStr">
        <x:is>
          <x:t xml:space="preserve">Cerchas o paneles steel frame + cubierta metálica</x:t>
        </x:is>
      </x:c>
      <x:c r="T171" s="15" t="n">
        <x:v>180</x:v>
      </x:c>
      <x:c r="U171" s="10" t="inlineStr">
        <x:is>
          <x:t xml:space="preserve">Lana mineral / lana de roca + barrera de vapor</x:t>
        </x:is>
      </x:c>
      <x:c r="V171" s="9" t="inlineStr">
        <x:is>
          <x:t xml:space="preserve">Envigado metálico o plataforma estructural</x:t>
        </x:is>
      </x:c>
      <x:c r="W171" s="10" t="inlineStr">
        <x:is>
          <x:t xml:space="preserve">Lana mineral 50-100 mm + placas estructurales</x:t>
        </x:is>
      </x:c>
      <x:c r="X171" s="9" t="inlineStr">
        <x:is>
          <x:t xml:space="preserve">PVC termopanel</x:t>
        </x:is>
      </x:c>
      <x:c r="Y171" s="9" t="inlineStr">
        <x:is>
          <x:t xml:space="preserve">Estuco sobre placa cementicia</x:t>
        </x:is>
      </x:c>
      <x:c r="Z171" s="9" t="inlineStr">
        <x:is>
          <x:t xml:space="preserve">Yeso cartón</x:t>
        </x:is>
      </x:c>
      <x:c r="AA171" s="9" t="inlineStr">
        <x:is>
          <x:t xml:space="preserve">Vigas de fundación y radier</x:t>
        </x:is>
      </x:c>
      <x:c r="AB171" s="15" t="n">
        <x:v>7</x:v>
      </x:c>
      <x:c r="AC171" s="15" t="n">
        <x:v>11</x:v>
      </x:c>
      <x:c r="AD171" s="9" t="inlineStr">
        <x:is>
          <x:t xml:space="preserve">Turismo / arriendo</x:t>
        </x:is>
      </x:c>
      <x:c r="AE171" s="9" t="inlineStr">
        <x:is>
          <x:t xml:space="preserve">Sur lluvioso</x:t>
        </x:is>
      </x:c>
      <x:c r="AF171" s="10" t="inlineStr">
        <x:is>
          <x:t xml:space="preserve">Criterio térmico referencial OGUC / reglamentación térmica vigente</x:t>
        </x:is>
      </x:c>
      <x:c r="AG171" s="10" t="inlineStr">
        <x:is>
          <x:t xml:space="preserve">https://www.steelframe.cl/ | https://vhaceros.cl/blog/steel-framing-principios-estructurales-y-ventajas-en-la-construccion-chilena/</x:t>
        </x:is>
      </x:c>
      <x:c r="AH171" s="10" t="inlineStr">
        <x:is>
          <x:t xml:space="preserve">Estructura: Perfilería de acero galvanizado liviano; muros Acero galvanizado + placa OSB/fibrocemento + cámara técnica de 160 mm con aislación Lana mineral o lana de roca / PET / EPS según zona térmica (80 mm); cubierta Cerchas o paneles steel frame + cubierta metálica de 180 mm; ventanas PVC termopanel; revestimiento exterior Siding fibrocemento; interior MDF pintado; fundación sugerida Radier reforzado.</x:t>
        </x:is>
      </x:c>
    </x:row>
    <x:row r="172" ht="32" customHeight="1">
      <x:c r="A172" s="9" t="inlineStr">
        <x:is>
          <x:t xml:space="preserve">MOD-0171</x:t>
        </x:is>
      </x:c>
      <x:c r="B172" s="9" t="inlineStr">
        <x:is>
          <x:t xml:space="preserve">EMP-035</x:t>
        </x:is>
      </x:c>
      <x:c r="C172" s="9" t="inlineStr">
        <x:is>
          <x:t xml:space="preserve">Ñuñoa 36</x:t>
        </x:is>
      </x:c>
      <x:c r="D172" s="9" t="inlineStr">
        <x:is>
          <x:t xml:space="preserve">Ñuñoa</x:t>
        </x:is>
      </x:c>
      <x:c r="E172" s="9" t="inlineStr">
        <x:is>
          <x:t xml:space="preserve">Valle</x:t>
        </x:is>
      </x:c>
      <x:c r="F172" s="9" t="inlineStr">
        <x:is>
          <x:t xml:space="preserve">Sí</x:t>
        </x:is>
      </x:c>
      <x:c r="G172" s="9" t="inlineStr">
        <x:is>
          <x:t xml:space="preserve">STEEL_FRAME</x:t>
        </x:is>
      </x:c>
      <x:c r="H172" s="15" t="n">
        <x:v>36</x:v>
      </x:c>
      <x:c r="I172" s="9" t="n">
        <x:v>1</x:v>
      </x:c>
      <x:c r="J172" s="9" t="n">
        <x:v>1</x:v>
      </x:c>
      <x:c r="K172" s="9" t="n">
        <x:v>1</x:v>
      </x:c>
      <x:c r="L172" s="9" t="n">
        <x:v>1</x:v>
      </x:c>
      <x:c r="M172" s="12" t="n">
        <x:v>2.45</x:v>
      </x:c>
      <x:c r="N172" s="9" t="inlineStr">
        <x:is>
          <x:t xml:space="preserve">Panelizado steel frame industrializado</x:t>
        </x:is>
      </x:c>
      <x:c r="O172" s="10" t="inlineStr">
        <x:is>
          <x:t xml:space="preserve">Acero galvanizado + placa OSB/fibrocemento + cámara técnica</x:t>
        </x:is>
      </x:c>
      <x:c r="P172" s="15" t="n">
        <x:v>140</x:v>
      </x:c>
      <x:c r="Q172" s="9" t="inlineStr">
        <x:is>
          <x:t xml:space="preserve">Lana mineral o lana de roca / PET / EPS según zona térmica</x:t>
        </x:is>
      </x:c>
      <x:c r="R172" s="15" t="n">
        <x:v>80</x:v>
      </x:c>
      <x:c r="S172" s="10" t="inlineStr">
        <x:is>
          <x:t xml:space="preserve">Cerchas o paneles steel frame + cubierta metálica</x:t>
        </x:is>
      </x:c>
      <x:c r="T172" s="15" t="n">
        <x:v>150</x:v>
      </x:c>
      <x:c r="U172" s="10" t="inlineStr">
        <x:is>
          <x:t xml:space="preserve">Lana mineral / lana de roca + barrera de vapor</x:t>
        </x:is>
      </x:c>
      <x:c r="V172" s="9" t="inlineStr">
        <x:is>
          <x:t xml:space="preserve">Envigado metálico o plataforma estructural</x:t>
        </x:is>
      </x:c>
      <x:c r="W172" s="10" t="inlineStr">
        <x:is>
          <x:t xml:space="preserve">Lana mineral 50-100 mm + placas estructurales</x:t>
        </x:is>
      </x:c>
      <x:c r="X172" s="9" t="inlineStr">
        <x:is>
          <x:t xml:space="preserve">Aluminio RPT termopanel</x:t>
        </x:is>
      </x:c>
      <x:c r="Y172" s="9" t="inlineStr">
        <x:is>
          <x:t xml:space="preserve">Plancha metálica</x:t>
        </x:is>
      </x:c>
      <x:c r="Z172" s="9" t="inlineStr">
        <x:is>
          <x:t xml:space="preserve">MDF pintado</x:t>
        </x:is>
      </x:c>
      <x:c r="AA172" s="9" t="inlineStr">
        <x:is>
          <x:t xml:space="preserve">Radier reforzado</x:t>
        </x:is>
      </x:c>
      <x:c r="AB172" s="15" t="n">
        <x:v>6</x:v>
      </x:c>
      <x:c r="AC172" s="15" t="n">
        <x:v>10</x:v>
      </x:c>
      <x:c r="AD172" s="9" t="inlineStr">
        <x:is>
          <x:t xml:space="preserve">Primera vivienda</x:t>
        </x:is>
      </x:c>
      <x:c r="AE172" s="9" t="inlineStr">
        <x:is>
          <x:t xml:space="preserve">Sur lluvioso</x:t>
        </x:is>
      </x:c>
      <x:c r="AF172" s="10" t="inlineStr">
        <x:is>
          <x:t xml:space="preserve">Criterio térmico referencial OGUC / reglamentación térmica vigente</x:t>
        </x:is>
      </x:c>
      <x:c r="AG172" s="10" t="inlineStr">
        <x:is>
          <x:t xml:space="preserve">https://www.steelframe.cl/ | https://vhaceros.cl/blog/steel-framing-principios-estructurales-y-ventajas-en-la-construccion-chilena/</x:t>
        </x:is>
      </x:c>
      <x:c r="AH172" s="10" t="inlineStr">
        <x:is>
          <x:t xml:space="preserve">Estructura: Panelizado steel frame industrializado; muros Acero galvanizado + placa OSB/fibrocemento + cámara técnica de 140 mm con aislación Lana mineral o lana de roca / PET / EPS según zona térmica (80 mm); cubierta Cerchas o paneles steel frame + cubierta metálica de 150 mm; ventanas PVC termopanel; revestimiento exterior Siding fibrocemento; interior Yeso cartón; fundación sugerida Radier reforzado.</x:t>
        </x:is>
      </x:c>
    </x:row>
    <x:row r="173" ht="32" customHeight="1">
      <x:c r="A173" s="9" t="inlineStr">
        <x:is>
          <x:t xml:space="preserve">MOD-0172</x:t>
        </x:is>
      </x:c>
      <x:c r="B173" s="9" t="inlineStr">
        <x:is>
          <x:t xml:space="preserve">EMP-035</x:t>
        </x:is>
      </x:c>
      <x:c r="C173" s="9" t="inlineStr">
        <x:is>
          <x:t xml:space="preserve">Colina 72</x:t>
        </x:is>
      </x:c>
      <x:c r="D173" s="9" t="inlineStr">
        <x:is>
          <x:t xml:space="preserve">Colina</x:t>
        </x:is>
      </x:c>
      <x:c r="E173" s="9" t="inlineStr">
        <x:is>
          <x:t xml:space="preserve">Río</x:t>
        </x:is>
      </x:c>
      <x:c r="F173" s="9" t="inlineStr">
        <x:is>
          <x:t xml:space="preserve">Sí</x:t>
        </x:is>
      </x:c>
      <x:c r="G173" s="9" t="inlineStr">
        <x:is>
          <x:t xml:space="preserve">STEEL_FRAME</x:t>
        </x:is>
      </x:c>
      <x:c r="H173" s="15" t="n">
        <x:v>72</x:v>
      </x:c>
      <x:c r="I173" s="9" t="n">
        <x:v>2</x:v>
      </x:c>
      <x:c r="J173" s="9" t="n">
        <x:v>2</x:v>
      </x:c>
      <x:c r="K173" s="9" t="n">
        <x:v>1</x:v>
      </x:c>
      <x:c r="L173" s="9" t="n">
        <x:v>2</x:v>
      </x:c>
      <x:c r="M173" s="12" t="n">
        <x:v>2.45</x:v>
      </x:c>
      <x:c r="N173" s="9" t="inlineStr">
        <x:is>
          <x:t xml:space="preserve">Panelizado steel frame industrializado</x:t>
        </x:is>
      </x:c>
      <x:c r="O173" s="10" t="inlineStr">
        <x:is>
          <x:t xml:space="preserve">Acero galvanizado + placa OSB/fibrocemento + cámara técnica</x:t>
        </x:is>
      </x:c>
      <x:c r="P173" s="15" t="n">
        <x:v>90</x:v>
      </x:c>
      <x:c r="Q173" s="9" t="inlineStr">
        <x:is>
          <x:t xml:space="preserve">Lana mineral o lana de roca / PET / EPS según zona térmica</x:t>
        </x:is>
      </x:c>
      <x:c r="R173" s="15" t="n">
        <x:v>80</x:v>
      </x:c>
      <x:c r="S173" s="10" t="inlineStr">
        <x:is>
          <x:t xml:space="preserve">Cerchas o paneles steel frame + cubierta metálica</x:t>
        </x:is>
      </x:c>
      <x:c r="T173" s="15" t="n">
        <x:v>180</x:v>
      </x:c>
      <x:c r="U173" s="10" t="inlineStr">
        <x:is>
          <x:t xml:space="preserve">Lana mineral / lana de roca + barrera de vapor</x:t>
        </x:is>
      </x:c>
      <x:c r="V173" s="9" t="inlineStr">
        <x:is>
          <x:t xml:space="preserve">Envigado metálico o plataforma estructural</x:t>
        </x:is>
      </x:c>
      <x:c r="W173" s="10" t="inlineStr">
        <x:is>
          <x:t xml:space="preserve">Lana mineral 50-100 mm + placas estructurales</x:t>
        </x:is>
      </x:c>
      <x:c r="X173" s="9" t="inlineStr">
        <x:is>
          <x:t xml:space="preserve">PVC termopanel</x:t>
        </x:is>
      </x:c>
      <x:c r="Y173" s="9" t="inlineStr">
        <x:is>
          <x:t xml:space="preserve">Siding fibrocemento</x:t>
        </x:is>
      </x:c>
      <x:c r="Z173" s="9" t="inlineStr">
        <x:is>
          <x:t xml:space="preserve">Yeso cartón RF</x:t>
        </x:is>
      </x:c>
      <x:c r="AA173" s="9" t="inlineStr">
        <x:is>
          <x:t xml:space="preserve">Pilotes</x:t>
        </x:is>
      </x:c>
      <x:c r="AB173" s="15" t="n">
        <x:v>5</x:v>
      </x:c>
      <x:c r="AC173" s="15" t="n">
        <x:v>11</x:v>
      </x:c>
      <x:c r="AD173" s="9" t="inlineStr">
        <x:is>
          <x:t xml:space="preserve">Loteo habitacional</x:t>
        </x:is>
      </x:c>
      <x:c r="AE173" s="9" t="inlineStr">
        <x:is>
          <x:t xml:space="preserve">Sur lluvioso</x:t>
        </x:is>
      </x:c>
      <x:c r="AF173" s="10" t="inlineStr">
        <x:is>
          <x:t xml:space="preserve">Criterio térmico referencial OGUC / reglamentación térmica vigente</x:t>
        </x:is>
      </x:c>
      <x:c r="AG173" s="10" t="inlineStr">
        <x:is>
          <x:t xml:space="preserve">https://www.steelframe.cl/ | https://vhaceros.cl/blog/steel-framing-principios-estructurales-y-ventajas-en-la-construccion-chilena/</x:t>
        </x:is>
      </x:c>
      <x:c r="AH173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(80 mm); cubierta Cerchas o paneles steel frame + cubierta metálica de 180 mm; ventanas Aluminio RPT termopanel; revestimiento exterior Estuco sobre placa cementicia; interior Yeso cartón RF; fundación sugerida Vigas de fundación y radier.</x:t>
        </x:is>
      </x:c>
    </x:row>
    <x:row r="174" ht="32" customHeight="1">
      <x:c r="A174" s="9" t="inlineStr">
        <x:is>
          <x:t xml:space="preserve">MOD-0173</x:t>
        </x:is>
      </x:c>
      <x:c r="B174" s="9" t="inlineStr">
        <x:is>
          <x:t xml:space="preserve">EMP-035</x:t>
        </x:is>
      </x:c>
      <x:c r="C174" s="9" t="inlineStr">
        <x:is>
          <x:t xml:space="preserve">Pucón 88</x:t>
        </x:is>
      </x:c>
      <x:c r="D174" s="9" t="inlineStr">
        <x:is>
          <x:t xml:space="preserve">Pucón</x:t>
        </x:is>
      </x:c>
      <x:c r="E174" s="9" t="inlineStr">
        <x:is>
          <x:t xml:space="preserve">Comuna</x:t>
        </x:is>
      </x:c>
      <x:c r="F174" s="9" t="inlineStr">
        <x:is>
          <x:t xml:space="preserve">Sí</x:t>
        </x:is>
      </x:c>
      <x:c r="G174" s="9" t="inlineStr">
        <x:is>
          <x:t xml:space="preserve">SIP</x:t>
        </x:is>
      </x:c>
      <x:c r="H174" s="15" t="n">
        <x:v>88</x:v>
      </x:c>
      <x:c r="I174" s="9" t="n">
        <x:v>3</x:v>
      </x:c>
      <x:c r="J174" s="9" t="n">
        <x:v>2</x:v>
      </x:c>
      <x:c r="K174" s="9" t="n">
        <x:v>1</x:v>
      </x:c>
      <x:c r="L174" s="9" t="n">
        <x:v>3</x:v>
      </x:c>
      <x:c r="M174" s="12" t="n">
        <x:v>2.5</x:v>
      </x:c>
      <x:c r="N174" s="9" t="inlineStr">
        <x:is>
          <x:t xml:space="preserve">Panel SIP estructural con uniones en pino seco</x:t>
        </x:is>
      </x:c>
      <x:c r="O174" s="10" t="inlineStr">
        <x:is>
          <x:t xml:space="preserve">2 placas OSB estructural + núcleo EPS alta densidad</x:t>
        </x:is>
      </x:c>
      <x:c r="P174" s="15" t="n">
        <x:v>130</x:v>
      </x:c>
      <x:c r="Q174" s="9" t="inlineStr">
        <x:is>
          <x:t xml:space="preserve">EPS alta densidad 15 kg/m³</x:t>
        </x:is>
      </x:c>
      <x:c r="R174" s="15" t="n">
        <x:v>105</x:v>
      </x:c>
      <x:c r="S174" s="10" t="inlineStr">
        <x:is>
          <x:t xml:space="preserve">Panel SIP de cubierta + membrana hidrófuga + hojalatería</x:t>
        </x:is>
      </x:c>
      <x:c r="T174" s="15" t="n">
        <x:v>130</x:v>
      </x:c>
      <x:c r="U174" s="10" t="inlineStr">
        <x:is>
          <x:t xml:space="preserve">EPS integrado + sellos PU</x:t>
        </x:is>
      </x:c>
      <x:c r="V174" s="9" t="inlineStr">
        <x:is>
          <x:t xml:space="preserve">Base entramado madera o radier con barrera de humedad</x:t>
        </x:is>
      </x:c>
      <x:c r="W174" s="10" t="inlineStr">
        <x:is>
          <x:t xml:space="preserve">Aislación bajo piso PET o lana mineral 50-100 mm</x:t>
        </x:is>
      </x:c>
      <x:c r="X174" s="9" t="inlineStr">
        <x:is>
          <x:t xml:space="preserve">PVC termopanel</x:t>
        </x:is>
      </x:c>
      <x:c r="Y174" s="9" t="inlineStr">
        <x:is>
          <x:t xml:space="preserve">Plancha metálica prepintada</x:t>
        </x:is>
      </x:c>
      <x:c r="Z174" s="9" t="inlineStr">
        <x:is>
          <x:t xml:space="preserve">MDF en zonas secas</x:t>
        </x:is>
      </x:c>
      <x:c r="AA174" s="9" t="inlineStr">
        <x:is>
          <x:t xml:space="preserve">Radier afinado</x:t>
        </x:is>
      </x:c>
      <x:c r="AB174" s="15" t="n">
        <x:v>4</x:v>
      </x:c>
      <x:c r="AC174" s="15" t="n">
        <x:v>5</x:v>
      </x:c>
      <x:c r="AD174" s="9" t="inlineStr">
        <x:is>
          <x:t xml:space="preserve">Cabaña permanente</x:t>
        </x:is>
      </x:c>
      <x:c r="AE174" s="9" t="inlineStr">
        <x:is>
          <x:t xml:space="preserve">Sur lluvioso</x:t>
        </x:is>
      </x:c>
      <x:c r="AF174" s="10" t="inlineStr">
        <x:is>
          <x:t xml:space="preserve">NCh3393:2016 (referencial para paneles SIP)</x:t>
        </x:is>
      </x:c>
      <x:c r="AG17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4" s="10" t="inlineStr">
        <x:is>
          <x:t xml:space="preserve">Estructura: Panel SIP estructural OSB/EPS/OSB; muros 2 placas OSB estructural + núcleo EPS alta densidad de 130 mm con aislación EPS alta densidad 15 kg/m³ (105 mm); cubierta Panel SIP de cubierta + membrana hidrófuga + hojalatería de 130 mm; ventanas PVC DVH; revestimiento exterior Siding fibrocemento; interior OSB sellado y pintado; fundación sugerida Radier afinado.</x:t>
        </x:is>
      </x:c>
    </x:row>
    <x:row r="175" ht="32" customHeight="1">
      <x:c r="A175" s="9" t="inlineStr">
        <x:is>
          <x:t xml:space="preserve">MOD-0174</x:t>
        </x:is>
      </x:c>
      <x:c r="B175" s="9" t="inlineStr">
        <x:is>
          <x:t xml:space="preserve">EMP-035</x:t>
        </x:is>
      </x:c>
      <x:c r="C175" s="9" t="inlineStr">
        <x:is>
          <x:t xml:space="preserve">Villarrica 132</x:t>
        </x:is>
      </x:c>
      <x:c r="D175" s="9" t="inlineStr">
        <x:is>
          <x:t xml:space="preserve">Villarrica</x:t>
        </x:is>
      </x:c>
      <x:c r="E175" s="9" t="inlineStr">
        <x:is>
          <x:t xml:space="preserve">Archipiélago</x:t>
        </x:is>
      </x:c>
      <x:c r="F175" s="9" t="inlineStr">
        <x:is>
          <x:t xml:space="preserve">Sí</x:t>
        </x:is>
      </x:c>
      <x:c r="G175" s="9" t="inlineStr">
        <x:is>
          <x:t xml:space="preserve">MODULAR_TIMBER</x:t>
        </x:is>
      </x:c>
      <x:c r="H175" s="15" t="n">
        <x:v>132</x:v>
      </x:c>
      <x:c r="I175" s="9" t="n">
        <x:v>3</x:v>
      </x:c>
      <x:c r="J175" s="9" t="n">
        <x:v>2</x:v>
      </x:c>
      <x:c r="K175" s="9" t="n">
        <x:v>2</x:v>
      </x:c>
      <x:c r="L175" s="9" t="n">
        <x:v>3</x:v>
      </x:c>
      <x:c r="M175" s="12" t="n">
        <x:v>2.4</x:v>
      </x:c>
      <x:c r="N175" s="9" t="inlineStr">
        <x:is>
          <x:t xml:space="preserve">Madera laminada y entramado ligero</x:t>
        </x:is>
      </x:c>
      <x:c r="O175" s="10" t="inlineStr">
        <x:is>
          <x:t xml:space="preserve">Madera estructural + OSB / terciado + barrera hidrófuga</x:t>
        </x:is>
      </x:c>
      <x:c r="P175" s="15" t="n">
        <x:v>140</x:v>
      </x:c>
      <x:c r="Q175" s="9" t="inlineStr">
        <x:is>
          <x:t xml:space="preserve">Lana mineral / lana de vidrio / PET reciclado</x:t>
        </x:is>
      </x:c>
      <x:c r="R175" s="15" t="n">
        <x:v>60</x:v>
      </x:c>
      <x:c r="S175" s="10" t="inlineStr">
        <x:is>
          <x:t xml:space="preserve">Cercha de madera + cubierta metálica o tejuela asfáltica</x:t>
        </x:is>
      </x:c>
      <x:c r="T175" s="15" t="n">
        <x:v>150</x:v>
      </x:c>
      <x:c r="U175" s="10" t="inlineStr">
        <x:is>
          <x:t xml:space="preserve">Lana mineral 80-140 mm + membrana</x:t>
        </x:is>
      </x:c>
      <x:c r="V175" s="9" t="inlineStr">
        <x:is>
          <x:t xml:space="preserve">Plataforma de madera estructural o radier</x:t>
        </x:is>
      </x:c>
      <x:c r="W175" s="10" t="inlineStr">
        <x:is>
          <x:t xml:space="preserve">Lana mineral 50-100 mm / barrera humedad</x:t>
        </x:is>
      </x:c>
      <x:c r="X175" s="9" t="inlineStr">
        <x:is>
          <x:t xml:space="preserve">Aluminio termopanel</x:t>
        </x:is>
      </x:c>
      <x:c r="Y175" s="9" t="inlineStr">
        <x:is>
          <x:t xml:space="preserve">Madera tratada</x:t>
        </x:is>
      </x:c>
      <x:c r="Z175" s="9" t="inlineStr">
        <x:is>
          <x:t xml:space="preserve">Terciado pintado</x:t>
        </x:is>
      </x:c>
      <x:c r="AA175" s="9" t="inlineStr">
        <x:is>
          <x:t xml:space="preserve">Radier</x:t>
        </x:is>
      </x:c>
      <x:c r="AB175" s="15" t="n">
        <x:v>7</x:v>
      </x:c>
      <x:c r="AC175" s="15" t="n">
        <x:v>7</x:v>
      </x:c>
      <x:c r="AD175" s="9" t="inlineStr">
        <x:is>
          <x:t xml:space="preserve">Turismo / arriendo</x:t>
        </x:is>
      </x:c>
      <x:c r="AE175" s="9" t="inlineStr">
        <x:is>
          <x:t xml:space="preserve">Sur lluvioso</x:t>
        </x:is>
      </x:c>
      <x:c r="AF175" s="10" t="inlineStr">
        <x:is>
          <x:t xml:space="preserve">Especificaciones técnicas de vivienda industrializada en madera (referencial)</x:t>
        </x:is>
      </x:c>
      <x:c r="AG175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75" s="10" t="inlineStr">
        <x:is>
          <x:t xml:space="preserve">Estructura: Entramado ligero en pino impregnado; muros Madera estructural + OSB / terciado + barrera hidrófuga de 140 mm con aislación Lana mineral / lana de vidrio / PET reciclado (60 mm); cubierta Cercha de madera + cubierta metálica o tejuela asfáltica de 150 mm; ventanas Aluminio termopanel; revestimiento exterior Madera tratada; interior MDF ranurado; fundación sugerida Pilotes.</x:t>
        </x:is>
      </x:c>
    </x:row>
    <x:row r="176" ht="32" customHeight="1">
      <x:c r="A176" s="9" t="inlineStr">
        <x:is>
          <x:t xml:space="preserve">MOD-0175</x:t>
        </x:is>
      </x:c>
      <x:c r="B176" s="9" t="inlineStr">
        <x:is>
          <x:t xml:space="preserve">EMP-035</x:t>
        </x:is>
      </x:c>
      <x:c r="C176" s="9" t="inlineStr">
        <x:is>
          <x:t xml:space="preserve">Futrono 210</x:t>
        </x:is>
      </x:c>
      <x:c r="D176" s="9" t="inlineStr">
        <x:is>
          <x:t xml:space="preserve">Futrono</x:t>
        </x:is>
      </x:c>
      <x:c r="E176" s="9" t="inlineStr">
        <x:is>
          <x:t xml:space="preserve">Río</x:t>
        </x:is>
      </x:c>
      <x:c r="F176" s="9" t="inlineStr">
        <x:is>
          <x:t xml:space="preserve">Sí</x:t>
        </x:is>
      </x:c>
      <x:c r="G176" s="9" t="inlineStr">
        <x:is>
          <x:t xml:space="preserve">HYBRID_MODULAR</x:t>
        </x:is>
      </x:c>
      <x:c r="H176" s="15" t="n">
        <x:v>210</x:v>
      </x:c>
      <x:c r="I176" s="9" t="n">
        <x:v>4</x:v>
      </x:c>
      <x:c r="J176" s="9" t="n">
        <x:v>3</x:v>
      </x:c>
      <x:c r="K176" s="9" t="n">
        <x:v>1</x:v>
      </x:c>
      <x:c r="L176" s="9" t="n">
        <x:v>4</x:v>
      </x:c>
      <x:c r="M176" s="12" t="n">
        <x:v>2.35</x:v>
      </x:c>
      <x:c r="N176" s="9" t="inlineStr">
        <x:is>
          <x:t xml:space="preserve">Módulos de acero + paneles SIP</x:t>
        </x:is>
      </x:c>
      <x:c r="O176" s="10" t="inlineStr">
        <x:is>
          <x:t xml:space="preserve">Acero galvanizado o madera laminada + panel SIP MgO/OSB</x:t>
        </x:is>
      </x:c>
      <x:c r="P176" s="15" t="n">
        <x:v>160</x:v>
      </x:c>
      <x:c r="Q176" s="9" t="inlineStr">
        <x:is>
          <x:t xml:space="preserve">Lana mineral 75-100 mm o EPS integrado</x:t>
        </x:is>
      </x:c>
      <x:c r="R176" s="15" t="n">
        <x:v>100</x:v>
      </x:c>
      <x:c r="S176" s="10" t="inlineStr">
        <x:is>
          <x:t xml:space="preserve">Módulo volumétrico con cubierta panelizada</x:t>
        </x:is>
      </x:c>
      <x:c r="T176" s="15" t="n">
        <x:v>180</x:v>
      </x:c>
      <x:c r="U176" s="10" t="inlineStr">
        <x:is>
          <x:t xml:space="preserve">Lana mineral / EPS / barrera vapor</x:t>
        </x:is>
      </x:c>
      <x:c r="V176" s="9" t="inlineStr">
        <x:is>
          <x:t xml:space="preserve">Bastidor metálico o madera laminada</x:t>
        </x:is>
      </x:c>
      <x:c r="W176" s="10" t="inlineStr">
        <x:is>
          <x:t xml:space="preserve">Lana mineral 80-100 mm + fibrocemento</x:t>
        </x:is>
      </x:c>
      <x:c r="X176" s="9" t="inlineStr">
        <x:is>
          <x:t xml:space="preserve">Aluminio termopanel</x:t>
        </x:is>
      </x:c>
      <x:c r="Y176" s="9" t="inlineStr">
        <x:is>
          <x:t xml:space="preserve">Madera tratada</x:t>
        </x:is>
      </x:c>
      <x:c r="Z176" s="9" t="inlineStr">
        <x:is>
          <x:t xml:space="preserve">Yeso cartón pintado</x:t>
        </x:is>
      </x:c>
      <x:c r="AA176" s="9" t="inlineStr">
        <x:is>
          <x:t xml:space="preserve">Pilotes ajustables</x:t>
        </x:is>
      </x:c>
      <x:c r="AB176" s="15" t="n">
        <x:v>6</x:v>
      </x:c>
      <x:c r="AC176" s="15" t="n">
        <x:v>7</x:v>
      </x:c>
      <x:c r="AD176" s="9" t="inlineStr">
        <x:is>
          <x:t xml:space="preserve">Cabaña permanente</x:t>
        </x:is>
      </x:c>
      <x:c r="AE176" s="9" t="inlineStr">
        <x:is>
          <x:t xml:space="preserve">Sur lluvioso</x:t>
        </x:is>
      </x:c>
      <x:c r="AF176" s="10" t="inlineStr">
        <x:is>
          <x:t xml:space="preserve">Criterios de prefabricación modular y coordinación BIM (referencial)</x:t>
        </x:is>
      </x:c>
      <x:c r="AG176" s="10" t="inlineStr">
        <x:is>
          <x:t xml:space="preserve">https://modul.cl/construccion-de-casas-prefabricadas-modulares/ | https://tecnofasthome.cl/casas-modulares/</x:t>
        </x:is>
      </x:c>
      <x:c r="AH176" s="10" t="inlineStr">
        <x:is>
          <x:t xml:space="preserve">Estructura: Estructura híbrida acero-madera panelizada; muros Acero galvanizado o madera laminada + panel SIP MgO/OSB de 160 mm con aislación Lana mineral 75-100 mm o EPS integrado (100 mm); cubierta Módulo volumétrico con cubierta panelizada de 180 mm; ventanas Aluminio termopanel; revestimiento exterior Fibrocemento tipo siding; interior Yeso cartón RH; fundación sugerida Dados de hormigón.</x:t>
        </x:is>
      </x:c>
    </x:row>
    <x:row r="177" ht="32" customHeight="1">
      <x:c r="A177" s="9" t="inlineStr">
        <x:is>
          <x:t xml:space="preserve">MOD-0176</x:t>
        </x:is>
      </x:c>
      <x:c r="B177" s="9" t="inlineStr">
        <x:is>
          <x:t xml:space="preserve">EMP-036</x:t>
        </x:is>
      </x:c>
      <x:c r="C177" s="9" t="inlineStr">
        <x:is>
          <x:t xml:space="preserve">Ancud 54</x:t>
        </x:is>
      </x:c>
      <x:c r="D177" s="9" t="inlineStr">
        <x:is>
          <x:t xml:space="preserve">Ancud</x:t>
        </x:is>
      </x:c>
      <x:c r="E177" s="9" t="inlineStr">
        <x:is>
          <x:t xml:space="preserve">Río</x:t>
        </x:is>
      </x:c>
      <x:c r="F177" s="9" t="inlineStr">
        <x:is>
          <x:t xml:space="preserve">Sí</x:t>
        </x:is>
      </x:c>
      <x:c r="G177" s="9" t="inlineStr">
        <x:is>
          <x:t xml:space="preserve">SIP</x:t>
        </x:is>
      </x:c>
      <x:c r="H177" s="15" t="n">
        <x:v>54</x:v>
      </x:c>
      <x:c r="I177" s="9" t="n">
        <x:v>2</x:v>
      </x:c>
      <x:c r="J177" s="9" t="n">
        <x:v>1</x:v>
      </x:c>
      <x:c r="K177" s="9" t="n">
        <x:v>1</x:v>
      </x:c>
      <x:c r="L177" s="9" t="n">
        <x:v>2</x:v>
      </x:c>
      <x:c r="M177" s="12" t="n">
        <x:v>2.5</x:v>
      </x:c>
      <x:c r="N177" s="9" t="inlineStr">
        <x:is>
          <x:t xml:space="preserve">Panel SIP estructural con uniones en pino seco</x:t>
        </x:is>
      </x:c>
      <x:c r="O177" s="10" t="inlineStr">
        <x:is>
          <x:t xml:space="preserve">2 placas OSB estructural + núcleo EPS alta densidad</x:t>
        </x:is>
      </x:c>
      <x:c r="P177" s="15" t="n">
        <x:v>114</x:v>
      </x:c>
      <x:c r="Q177" s="9" t="inlineStr">
        <x:is>
          <x:t xml:space="preserve">EPS alta densidad 15 kg/m³</x:t>
        </x:is>
      </x:c>
      <x:c r="R177" s="15" t="n">
        <x:v>68</x:v>
      </x:c>
      <x:c r="S177" s="10" t="inlineStr">
        <x:is>
          <x:t xml:space="preserve">Panel SIP de cubierta + membrana hidrófuga + hojalatería</x:t>
        </x:is>
      </x:c>
      <x:c r="T177" s="15" t="n">
        <x:v>130</x:v>
      </x:c>
      <x:c r="U177" s="10" t="inlineStr">
        <x:is>
          <x:t xml:space="preserve">EPS integrado + sellos PU</x:t>
        </x:is>
      </x:c>
      <x:c r="V177" s="9" t="inlineStr">
        <x:is>
          <x:t xml:space="preserve">Base entramado madera o radier con barrera de humedad</x:t>
        </x:is>
      </x:c>
      <x:c r="W177" s="10" t="inlineStr">
        <x:is>
          <x:t xml:space="preserve">Aislación bajo piso PET o lana mineral 50-100 mm</x:t>
        </x:is>
      </x:c>
      <x:c r="X177" s="9" t="inlineStr">
        <x:is>
          <x:t xml:space="preserve">PVC DVH</x:t>
        </x:is>
      </x:c>
      <x:c r="Y177" s="9" t="inlineStr">
        <x:is>
          <x:t xml:space="preserve">Plancha metálica prepintada</x:t>
        </x:is>
      </x:c>
      <x:c r="Z177" s="9" t="inlineStr">
        <x:is>
          <x:t xml:space="preserve">Yeso cartón pintado</x:t>
        </x:is>
      </x:c>
      <x:c r="AA177" s="9" t="inlineStr">
        <x:is>
          <x:t xml:space="preserve">Sobrecimientos y radier</x:t>
        </x:is>
      </x:c>
      <x:c r="AB177" s="15" t="n">
        <x:v>5</x:v>
      </x:c>
      <x:c r="AC177" s="15" t="n">
        <x:v>4</x:v>
      </x:c>
      <x:c r="AD177" s="9" t="inlineStr">
        <x:is>
          <x:t xml:space="preserve">Loteo habitacional</x:t>
        </x:is>
      </x:c>
      <x:c r="AE177" s="9" t="inlineStr">
        <x:is>
          <x:t xml:space="preserve">Sur lluvioso</x:t>
        </x:is>
      </x:c>
      <x:c r="AF177" s="10" t="inlineStr">
        <x:is>
          <x:t xml:space="preserve">NCh3393:2016 (referencial para paneles SIP)</x:t>
        </x:is>
      </x:c>
      <x:c r="AG17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7" s="10" t="inlineStr">
        <x:is>
          <x:t xml:space="preserve">Estructura: Panel SIP estructural OSB/EPS/OSB; muros 2 placas OSB estructural + núcleo EPS alta densidad de 114 mm con aislación EPS alta densidad 15 kg/m³ (68 mm); cubierta Panel SIP de cubierta + membrana hidrófuga + hojalatería de 130 mm; ventanas PVC DVH; revestimiento exterior Plancha metálica prepintada; interior Yeso cartón RH en zonas húmedas; fundación sugerida Pilotes metálicos.</x:t>
        </x:is>
      </x:c>
    </x:row>
    <x:row r="178" ht="32" customHeight="1">
      <x:c r="A178" s="9" t="inlineStr">
        <x:is>
          <x:t xml:space="preserve">MOD-0177</x:t>
        </x:is>
      </x:c>
      <x:c r="B178" s="9" t="inlineStr">
        <x:is>
          <x:t xml:space="preserve">EMP-036</x:t>
        </x:is>
      </x:c>
      <x:c r="C178" s="9" t="inlineStr">
        <x:is>
          <x:t xml:space="preserve">Castro 88</x:t>
        </x:is>
      </x:c>
      <x:c r="D178" s="9" t="inlineStr">
        <x:is>
          <x:t xml:space="preserve">Castro</x:t>
        </x:is>
      </x:c>
      <x:c r="E178" s="9" t="inlineStr">
        <x:is>
          <x:t xml:space="preserve">Valle</x:t>
        </x:is>
      </x:c>
      <x:c r="F178" s="9" t="inlineStr">
        <x:is>
          <x:t xml:space="preserve">Sí</x:t>
        </x:is>
      </x:c>
      <x:c r="G178" s="9" t="inlineStr">
        <x:is>
          <x:t xml:space="preserve">SIP</x:t>
        </x:is>
      </x:c>
      <x:c r="H178" s="15" t="n">
        <x:v>88</x:v>
      </x:c>
      <x:c r="I178" s="9" t="n">
        <x:v>3</x:v>
      </x:c>
      <x:c r="J178" s="9" t="n">
        <x:v>2</x:v>
      </x:c>
      <x:c r="K178" s="9" t="n">
        <x:v>1</x:v>
      </x:c>
      <x:c r="L178" s="9" t="n">
        <x:v>3</x:v>
      </x:c>
      <x:c r="M178" s="12" t="n">
        <x:v>2.45</x:v>
      </x:c>
      <x:c r="N178" s="9" t="inlineStr">
        <x:is>
          <x:t xml:space="preserve">Panel SIP estructural OSB/EPS/OSB</x:t>
        </x:is>
      </x:c>
      <x:c r="O178" s="10" t="inlineStr">
        <x:is>
          <x:t xml:space="preserve">2 placas OSB estructural + núcleo EPS alta densidad</x:t>
        </x:is>
      </x:c>
      <x:c r="P178" s="15" t="n">
        <x:v>75</x:v>
      </x:c>
      <x:c r="Q178" s="9" t="inlineStr">
        <x:is>
          <x:t xml:space="preserve">EPS alta densidad 15 kg/m³</x:t>
        </x:is>
      </x:c>
      <x:c r="R178" s="15" t="n">
        <x:v>105</x:v>
      </x:c>
      <x:c r="S178" s="10" t="inlineStr">
        <x:is>
          <x:t xml:space="preserve">Panel SIP de cubierta + membrana hidrófuga + hojalatería</x:t>
        </x:is>
      </x:c>
      <x:c r="T178" s="15" t="n">
        <x:v>164</x:v>
      </x:c>
      <x:c r="U178" s="10" t="inlineStr">
        <x:is>
          <x:t xml:space="preserve">EPS integrado + sellos PU</x:t>
        </x:is>
      </x:c>
      <x:c r="V178" s="9" t="inlineStr">
        <x:is>
          <x:t xml:space="preserve">Base entramado madera o radier con barrera de humedad</x:t>
        </x:is>
      </x:c>
      <x:c r="W178" s="10" t="inlineStr">
        <x:is>
          <x:t xml:space="preserve">Aislación bajo piso PET o lana mineral 50-100 mm</x:t>
        </x:is>
      </x:c>
      <x:c r="X178" s="9" t="inlineStr">
        <x:is>
          <x:t xml:space="preserve">PVC DVH</x:t>
        </x:is>
      </x:c>
      <x:c r="Y178" s="9" t="inlineStr">
        <x:is>
          <x:t xml:space="preserve">Plancha metálica prepintada</x:t>
        </x:is>
      </x:c>
      <x:c r="Z178" s="9" t="inlineStr">
        <x:is>
          <x:t xml:space="preserve">MDF en zonas secas</x:t>
        </x:is>
      </x:c>
      <x:c r="AA178" s="9" t="inlineStr">
        <x:is>
          <x:t xml:space="preserve">Fundación corrida</x:t>
        </x:is>
      </x:c>
      <x:c r="AB178" s="15" t="n">
        <x:v>3</x:v>
      </x:c>
      <x:c r="AC178" s="15" t="n">
        <x:v>5</x:v>
      </x:c>
      <x:c r="AD178" s="9" t="inlineStr">
        <x:is>
          <x:t xml:space="preserve">Cabaña permanente</x:t>
        </x:is>
      </x:c>
      <x:c r="AE178" s="9" t="inlineStr">
        <x:is>
          <x:t xml:space="preserve">Sur lluvioso</x:t>
        </x:is>
      </x:c>
      <x:c r="AF178" s="10" t="inlineStr">
        <x:is>
          <x:t xml:space="preserve">NCh3393:2016 (referencial para paneles SIP)</x:t>
        </x:is>
      </x:c>
      <x:c r="AG178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8" s="10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164 mm; ventanas Aluminio con termopanel; revestimiento exterior Siding fibrocemento; interior Yeso cartón pintado; fundación sugerida Radier afinado.</x:t>
        </x:is>
      </x:c>
    </x:row>
    <x:row r="179" ht="32" customHeight="1">
      <x:c r="A179" s="9" t="inlineStr">
        <x:is>
          <x:t xml:space="preserve">MOD-0178</x:t>
        </x:is>
      </x:c>
      <x:c r="B179" s="9" t="inlineStr">
        <x:is>
          <x:t xml:space="preserve">EMP-036</x:t>
        </x:is>
      </x:c>
      <x:c r="C179" s="9" t="inlineStr">
        <x:is>
          <x:t xml:space="preserve">Alerce 72</x:t>
        </x:is>
      </x:c>
      <x:c r="D179" s="9" t="inlineStr">
        <x:is>
          <x:t xml:space="preserve">Alerce</x:t>
        </x:is>
      </x:c>
      <x:c r="E179" s="9" t="inlineStr">
        <x:is>
          <x:t xml:space="preserve">Archipiélago</x:t>
        </x:is>
      </x:c>
      <x:c r="F179" s="9" t="inlineStr">
        <x:is>
          <x:t xml:space="preserve">Sí</x:t>
        </x:is>
      </x:c>
      <x:c r="G179" s="9" t="inlineStr">
        <x:is>
          <x:t xml:space="preserve">MODULAR_TIMBER</x:t>
        </x:is>
      </x:c>
      <x:c r="H179" s="15" t="n">
        <x:v>72</x:v>
      </x:c>
      <x:c r="I179" s="9" t="n">
        <x:v>2</x:v>
      </x:c>
      <x:c r="J179" s="9" t="n">
        <x:v>2</x:v>
      </x:c>
      <x:c r="K179" s="9" t="n">
        <x:v>1</x:v>
      </x:c>
      <x:c r="L179" s="9" t="n">
        <x:v>2</x:v>
      </x:c>
      <x:c r="M179" s="12" t="n">
        <x:v>2.5</x:v>
      </x:c>
      <x:c r="N179" s="9" t="inlineStr">
        <x:is>
          <x:t xml:space="preserve">Entramado ligero en pino impregnado</x:t>
        </x:is>
      </x:c>
      <x:c r="O179" s="10" t="inlineStr">
        <x:is>
          <x:t xml:space="preserve">Madera estructural + OSB / terciado + barrera hidrófuga</x:t>
        </x:is>
      </x:c>
      <x:c r="P179" s="15" t="n">
        <x:v>100</x:v>
      </x:c>
      <x:c r="Q179" s="9" t="inlineStr">
        <x:is>
          <x:t xml:space="preserve">Lana mineral / lana de vidrio / PET reciclado</x:t>
        </x:is>
      </x:c>
      <x:c r="R179" s="15" t="n">
        <x:v>100</x:v>
      </x:c>
      <x:c r="S179" s="10" t="inlineStr">
        <x:is>
          <x:t xml:space="preserve">Cercha de madera + cubierta metálica o tejuela asfáltica</x:t>
        </x:is>
      </x:c>
      <x:c r="T179" s="15" t="n">
        <x:v>150</x:v>
      </x:c>
      <x:c r="U179" s="10" t="inlineStr">
        <x:is>
          <x:t xml:space="preserve">Lana mineral 80-140 mm + membrana</x:t>
        </x:is>
      </x:c>
      <x:c r="V179" s="9" t="inlineStr">
        <x:is>
          <x:t xml:space="preserve">Plataforma de madera estructural o radier</x:t>
        </x:is>
      </x:c>
      <x:c r="W179" s="10" t="inlineStr">
        <x:is>
          <x:t xml:space="preserve">Lana mineral 50-100 mm / barrera humedad</x:t>
        </x:is>
      </x:c>
      <x:c r="X179" s="9" t="inlineStr">
        <x:is>
          <x:t xml:space="preserve">PVC termopanel</x:t>
        </x:is>
      </x:c>
      <x:c r="Y179" s="9" t="inlineStr">
        <x:is>
          <x:t xml:space="preserve">Madera tratada</x:t>
        </x:is>
      </x:c>
      <x:c r="Z179" s="9" t="inlineStr">
        <x:is>
          <x:t xml:space="preserve">Yeso cartón</x:t>
        </x:is>
      </x:c>
      <x:c r="AA179" s="9" t="inlineStr">
        <x:is>
          <x:t xml:space="preserve">Pilotes</x:t>
        </x:is>
      </x:c>
      <x:c r="AB179" s="15" t="n">
        <x:v>8</x:v>
      </x:c>
      <x:c r="AC179" s="15" t="n">
        <x:v>16</x:v>
      </x:c>
      <x:c r="AD179" s="9" t="inlineStr">
        <x:is>
          <x:t xml:space="preserve">Parcela</x:t>
        </x:is>
      </x:c>
      <x:c r="AE179" s="9" t="inlineStr">
        <x:is>
          <x:t xml:space="preserve">Sur lluvioso</x:t>
        </x:is>
      </x:c>
      <x:c r="AF179" s="10" t="inlineStr">
        <x:is>
          <x:t xml:space="preserve">Especificaciones técnicas de vivienda industrializada en madera (referencial)</x:t>
        </x:is>
      </x:c>
      <x:c r="AG179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79" s="10" t="inlineStr">
        <x:is>
          <x:t xml:space="preserve">Estructura: Madera laminada y entramado ligero; muros Madera estructural + OSB / terciado + barrera hidrófuga de 100 mm con aislación Lana mineral / lana de vidrio / PET reciclado (100 mm); cubierta Cercha de madera + cubierta metálica o tejuela asfáltica de 150 mm; ventanas Aluminio termopanel; revestimiento exterior Madera tratada; interior Terciado pintado; fundación sugerida Fundación corrida.</x:t>
        </x:is>
      </x:c>
    </x:row>
    <x:row r="180" ht="32" customHeight="1">
      <x:c r="A180" s="9" t="inlineStr">
        <x:is>
          <x:t xml:space="preserve">MOD-0179</x:t>
        </x:is>
      </x:c>
      <x:c r="B180" s="9" t="inlineStr">
        <x:is>
          <x:t xml:space="preserve">EMP-036</x:t>
        </x:is>
      </x:c>
      <x:c r="C180" s="9" t="inlineStr">
        <x:is>
          <x:t xml:space="preserve">Chiloé 144</x:t>
        </x:is>
      </x:c>
      <x:c r="D180" s="9" t="inlineStr">
        <x:is>
          <x:t xml:space="preserve">Chiloé</x:t>
        </x:is>
      </x:c>
      <x:c r="E180" s="9" t="inlineStr">
        <x:is>
          <x:t xml:space="preserve">Lago</x:t>
        </x:is>
      </x:c>
      <x:c r="F180" s="9" t="inlineStr">
        <x:is>
          <x:t xml:space="preserve">Sí</x:t>
        </x:is>
      </x:c>
      <x:c r="G180" s="9" t="inlineStr">
        <x:is>
          <x:t xml:space="preserve">STEEL_FRAME</x:t>
        </x:is>
      </x:c>
      <x:c r="H180" s="15" t="n">
        <x:v>144</x:v>
      </x:c>
      <x:c r="I180" s="9" t="n">
        <x:v>4</x:v>
      </x:c>
      <x:c r="J180" s="9" t="n">
        <x:v>3</x:v>
      </x:c>
      <x:c r="K180" s="9" t="n">
        <x:v>2</x:v>
      </x:c>
      <x:c r="L180" s="9" t="n">
        <x:v>4</x:v>
      </x:c>
      <x:c r="M180" s="12" t="n">
        <x:v>2.4</x:v>
      </x:c>
      <x:c r="N180" s="9" t="inlineStr">
        <x:is>
          <x:t xml:space="preserve">Perfilería de acero galvanizado liviano</x:t>
        </x:is>
      </x:c>
      <x:c r="O180" s="10" t="inlineStr">
        <x:is>
          <x:t xml:space="preserve">Acero galvanizado + placa OSB/fibrocemento + cámara técnica</x:t>
        </x:is>
      </x:c>
      <x:c r="P180" s="15" t="n">
        <x:v>140</x:v>
      </x:c>
      <x:c r="Q180" s="9" t="inlineStr">
        <x:is>
          <x:t xml:space="preserve">Lana mineral o lana de roca / PET / EPS según zona térmica</x:t>
        </x:is>
      </x:c>
      <x:c r="R180" s="15" t="n">
        <x:v>60</x:v>
      </x:c>
      <x:c r="S180" s="10" t="inlineStr">
        <x:is>
          <x:t xml:space="preserve">Cerchas o paneles steel frame + cubierta metálica</x:t>
        </x:is>
      </x:c>
      <x:c r="T180" s="15" t="n">
        <x:v>120</x:v>
      </x:c>
      <x:c r="U180" s="10" t="inlineStr">
        <x:is>
          <x:t xml:space="preserve">Lana mineral / lana de roca + barrera de vapor</x:t>
        </x:is>
      </x:c>
      <x:c r="V180" s="9" t="inlineStr">
        <x:is>
          <x:t xml:space="preserve">Envigado metálico o plataforma estructural</x:t>
        </x:is>
      </x:c>
      <x:c r="W180" s="10" t="inlineStr">
        <x:is>
          <x:t xml:space="preserve">Lana mineral 50-100 mm + placas estructurales</x:t>
        </x:is>
      </x:c>
      <x:c r="X180" s="9" t="inlineStr">
        <x:is>
          <x:t xml:space="preserve">Aluminio RPT termopanel</x:t>
        </x:is>
      </x:c>
      <x:c r="Y180" s="9" t="inlineStr">
        <x:is>
          <x:t xml:space="preserve">Siding fibrocemento</x:t>
        </x:is>
      </x:c>
      <x:c r="Z180" s="9" t="inlineStr">
        <x:is>
          <x:t xml:space="preserve">Yeso cartón RF</x:t>
        </x:is>
      </x:c>
      <x:c r="AA180" s="9" t="inlineStr">
        <x:is>
          <x:t xml:space="preserve">Radier reforzado</x:t>
        </x:is>
      </x:c>
      <x:c r="AB180" s="15" t="n">
        <x:v>5</x:v>
      </x:c>
      <x:c r="AC180" s="15" t="n">
        <x:v>13</x:v>
      </x:c>
      <x:c r="AD180" s="9" t="inlineStr">
        <x:is>
          <x:t xml:space="preserve">Turismo / arriendo</x:t>
        </x:is>
      </x:c>
      <x:c r="AE180" s="9" t="inlineStr">
        <x:is>
          <x:t xml:space="preserve">Sur lluvioso</x:t>
        </x:is>
      </x:c>
      <x:c r="AF180" s="10" t="inlineStr">
        <x:is>
          <x:t xml:space="preserve">Criterio térmico referencial OGUC / reglamentación térmica vigente</x:t>
        </x:is>
      </x:c>
      <x:c r="AG180" s="10" t="inlineStr">
        <x:is>
          <x:t xml:space="preserve">https://www.steelframe.cl/ | https://vhaceros.cl/blog/steel-framing-principios-estructurales-y-ventajas-en-la-construccion-chilena/</x:t>
        </x:is>
      </x:c>
      <x:c r="AH180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(60 mm); cubierta Cerchas o paneles steel frame + cubierta metálica de 120 mm; ventanas Aluminio RPT termopanel; revestimiento exterior Siding fibrocemento; interior Yeso cartón RF; fundación sugerida Vigas de fundación y radier.</x:t>
        </x:is>
      </x:c>
    </x:row>
    <x:row r="181" ht="32" customHeight="1">
      <x:c r="A181" s="9" t="inlineStr">
        <x:is>
          <x:t xml:space="preserve">MOD-0180</x:t>
        </x:is>
      </x:c>
      <x:c r="B181" s="9" t="inlineStr">
        <x:is>
          <x:t xml:space="preserve">EMP-036</x:t>
        </x:is>
      </x:c>
      <x:c r="C181" s="9" t="inlineStr">
        <x:is>
          <x:t xml:space="preserve">Osorno 192</x:t>
        </x:is>
      </x:c>
      <x:c r="D181" s="9" t="inlineStr">
        <x:is>
          <x:t xml:space="preserve">Osorno</x:t>
        </x:is>
      </x:c>
      <x:c r="E181" s="9" t="inlineStr">
        <x:is>
          <x:t xml:space="preserve">Volcán</x:t>
        </x:is>
      </x:c>
      <x:c r="F181" s="9" t="inlineStr">
        <x:is>
          <x:t xml:space="preserve">Sí</x:t>
        </x:is>
      </x:c>
      <x:c r="G181" s="9" t="inlineStr">
        <x:is>
          <x:t xml:space="preserve">HYBRID_MODULAR</x:t>
        </x:is>
      </x:c>
      <x:c r="H181" s="15" t="n">
        <x:v>192</x:v>
      </x:c>
      <x:c r="I181" s="9" t="n">
        <x:v>4</x:v>
      </x:c>
      <x:c r="J181" s="9" t="n">
        <x:v>3</x:v>
      </x:c>
      <x:c r="K181" s="9" t="n">
        <x:v>1</x:v>
      </x:c>
      <x:c r="L181" s="9" t="n">
        <x:v>4</x:v>
      </x:c>
      <x:c r="M181" s="12" t="n">
        <x:v>2.4</x:v>
      </x:c>
      <x:c r="N181" s="9" t="inlineStr">
        <x:is>
          <x:t xml:space="preserve">Estructura híbrida acero-madera panelizada</x:t>
        </x:is>
      </x:c>
      <x:c r="O181" s="10" t="inlineStr">
        <x:is>
          <x:t xml:space="preserve">Acero galvanizado o madera laminada + panel SIP MgO/OSB</x:t>
        </x:is>
      </x:c>
      <x:c r="P181" s="15" t="n">
        <x:v>160</x:v>
      </x:c>
      <x:c r="Q181" s="9" t="inlineStr">
        <x:is>
          <x:t xml:space="preserve">Lana mineral 75-100 mm o EPS integrado</x:t>
        </x:is>
      </x:c>
      <x:c r="R181" s="15" t="n">
        <x:v>75</x:v>
      </x:c>
      <x:c r="S181" s="10" t="inlineStr">
        <x:is>
          <x:t xml:space="preserve">Módulo volumétrico con cubierta panelizada</x:t>
        </x:is>
      </x:c>
      <x:c r="T181" s="15" t="n">
        <x:v>180</x:v>
      </x:c>
      <x:c r="U181" s="10" t="inlineStr">
        <x:is>
          <x:t xml:space="preserve">Lana mineral / EPS / barrera vapor</x:t>
        </x:is>
      </x:c>
      <x:c r="V181" s="9" t="inlineStr">
        <x:is>
          <x:t xml:space="preserve">Bastidor metálico o madera laminada</x:t>
        </x:is>
      </x:c>
      <x:c r="W181" s="10" t="inlineStr">
        <x:is>
          <x:t xml:space="preserve">Lana mineral 80-100 mm + fibrocemento</x:t>
        </x:is>
      </x:c>
      <x:c r="X181" s="9" t="inlineStr">
        <x:is>
          <x:t xml:space="preserve">PVC termopanel</x:t>
        </x:is>
      </x:c>
      <x:c r="Y181" s="9" t="inlineStr">
        <x:is>
          <x:t xml:space="preserve">Plancha metálica</x:t>
        </x:is>
      </x:c>
      <x:c r="Z181" s="9" t="inlineStr">
        <x:is>
          <x:t xml:space="preserve">Yeso cartón RH</x:t>
        </x:is>
      </x:c>
      <x:c r="AA181" s="9" t="inlineStr">
        <x:is>
          <x:t xml:space="preserve">Pilotes ajustables</x:t>
        </x:is>
      </x:c>
      <x:c r="AB181" s="15" t="n">
        <x:v>10</x:v>
      </x:c>
      <x:c r="AC181" s="15" t="n">
        <x:v>8</x:v>
      </x:c>
      <x:c r="AD181" s="9" t="inlineStr">
        <x:is>
          <x:t xml:space="preserve">Oficina + vivienda</x:t>
        </x:is>
      </x:c>
      <x:c r="AE181" s="9" t="inlineStr">
        <x:is>
          <x:t xml:space="preserve">Sur lluvioso</x:t>
        </x:is>
      </x:c>
      <x:c r="AF181" s="10" t="inlineStr">
        <x:is>
          <x:t xml:space="preserve">Criterios de prefabricación modular y coordinación BIM (referencial)</x:t>
        </x:is>
      </x:c>
      <x:c r="AG181" s="10" t="inlineStr">
        <x:is>
          <x:t xml:space="preserve">https://modul.cl/construccion-de-casas-prefabricadas-modulares/ | https://tecnofasthome.cl/casas-modulares/</x:t>
        </x:is>
      </x:c>
      <x:c r="AH181" s="10" t="inlineStr">
        <x:is>
          <x:t xml:space="preserve">Estructura: Módulos de acero + paneles SIP; muros Acero galvanizado o madera laminada + panel SIP MgO/OSB de 160 mm con aislación Lana mineral 75-100 mm o EPS integrado (75 mm); cubierta Módulo volumétrico con cubierta panelizada de 180 mm; ventanas Aluminio termopanel; revestimiento exterior Madera tratada; interior Yeso cartón RH; fundación sugerida Dados de hormigón.</x:t>
        </x:is>
      </x:c>
    </x:row>
    <x:row r="182" ht="32" customHeight="1">
      <x:c r="A182" s="9" t="inlineStr">
        <x:is>
          <x:t xml:space="preserve">MOD-0181</x:t>
        </x:is>
      </x:c>
      <x:c r="B182" s="9" t="inlineStr">
        <x:is>
          <x:t xml:space="preserve">EMP-037</x:t>
        </x:is>
      </x:c>
      <x:c r="C182" s="9" t="inlineStr">
        <x:is>
          <x:t xml:space="preserve">Coyhaique 54</x:t>
        </x:is>
      </x:c>
      <x:c r="D182" s="9" t="inlineStr">
        <x:is>
          <x:t xml:space="preserve">Coyhaique</x:t>
        </x:is>
      </x:c>
      <x:c r="E182" s="9" t="inlineStr">
        <x:is>
          <x:t xml:space="preserve">Comuna</x:t>
        </x:is>
      </x:c>
      <x:c r="F182" s="9" t="inlineStr">
        <x:is>
          <x:t xml:space="preserve">Sí</x:t>
        </x:is>
      </x:c>
      <x:c r="G182" s="9" t="inlineStr">
        <x:is>
          <x:t xml:space="preserve">SIP</x:t>
        </x:is>
      </x:c>
      <x:c r="H182" s="15" t="n">
        <x:v>54</x:v>
      </x:c>
      <x:c r="I182" s="9" t="n">
        <x:v>2</x:v>
      </x:c>
      <x:c r="J182" s="9" t="n">
        <x:v>1</x:v>
      </x:c>
      <x:c r="K182" s="9" t="n">
        <x:v>1</x:v>
      </x:c>
      <x:c r="L182" s="9" t="n">
        <x:v>2</x:v>
      </x:c>
      <x:c r="M182" s="12" t="n">
        <x:v>2.4</x:v>
      </x:c>
      <x:c r="N182" s="9" t="inlineStr">
        <x:is>
          <x:t xml:space="preserve">Panel SIP estructural con uniones en pino seco</x:t>
        </x:is>
      </x:c>
      <x:c r="O182" s="10" t="inlineStr">
        <x:is>
          <x:t xml:space="preserve">2 placas OSB estructural + núcleo EPS alta densidad</x:t>
        </x:is>
      </x:c>
      <x:c r="P182" s="15" t="n">
        <x:v>130</x:v>
      </x:c>
      <x:c r="Q182" s="9" t="inlineStr">
        <x:is>
          <x:t xml:space="preserve">EPS alta densidad 15 kg/m³</x:t>
        </x:is>
      </x:c>
      <x:c r="R182" s="15" t="n">
        <x:v>68</x:v>
      </x:c>
      <x:c r="S182" s="10" t="inlineStr">
        <x:is>
          <x:t xml:space="preserve">Panel SIP de cubierta + membrana hidrófuga + hojalatería</x:t>
        </x:is>
      </x:c>
      <x:c r="T182" s="15" t="n">
        <x:v>164</x:v>
      </x:c>
      <x:c r="U182" s="10" t="inlineStr">
        <x:is>
          <x:t xml:space="preserve">EPS integrado + sellos PU</x:t>
        </x:is>
      </x:c>
      <x:c r="V182" s="9" t="inlineStr">
        <x:is>
          <x:t xml:space="preserve">Base entramado madera o radier con barrera de humedad</x:t>
        </x:is>
      </x:c>
      <x:c r="W182" s="10" t="inlineStr">
        <x:is>
          <x:t xml:space="preserve">Aislación bajo piso PET o lana mineral 50-100 mm</x:t>
        </x:is>
      </x:c>
      <x:c r="X182" s="9" t="inlineStr">
        <x:is>
          <x:t xml:space="preserve">Aluminio con termopanel</x:t>
        </x:is>
      </x:c>
      <x:c r="Y182" s="9" t="inlineStr">
        <x:is>
          <x:t xml:space="preserve">Madera tratada</x:t>
        </x:is>
      </x:c>
      <x:c r="Z182" s="9" t="inlineStr">
        <x:is>
          <x:t xml:space="preserve">MDF en zonas secas</x:t>
        </x:is>
      </x:c>
      <x:c r="AA182" s="9" t="inlineStr">
        <x:is>
          <x:t xml:space="preserve">Sobrecimientos y radier</x:t>
        </x:is>
      </x:c>
      <x:c r="AB182" s="15" t="n">
        <x:v>7</x:v>
      </x:c>
      <x:c r="AC182" s="15" t="n">
        <x:v>6</x:v>
      </x:c>
      <x:c r="AD182" s="9" t="inlineStr">
        <x:is>
          <x:t xml:space="preserve">Cabaña permanente</x:t>
        </x:is>
      </x:c>
      <x:c r="AE182" s="9" t="inlineStr">
        <x:is>
          <x:t xml:space="preserve">Sur lluvioso</x:t>
        </x:is>
      </x:c>
      <x:c r="AF182" s="10" t="inlineStr">
        <x:is>
          <x:t xml:space="preserve">NCh3393:2016 (referencial para paneles SIP)</x:t>
        </x:is>
      </x:c>
      <x:c r="AG18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82" s="10" t="inlineStr">
        <x:is>
          <x:t xml:space="preserve">Estructura: Panel SIP estructural OSB/EPS/OSB; muros 2 placas OSB estructural + núcleo EPS alta densidad de 130 mm con aislación EPS alta densidad 15 kg/m³ (68 mm); cubierta Panel SIP de cubierta + membrana hidrófuga + hojalatería de 164 mm; ventanas PVC termopanel; revestimiento exterior Plancha metálica prepintada; interior MDF en zonas secas; fundación sugerida Sobrecimientos y radier.</x:t>
        </x:is>
      </x:c>
    </x:row>
    <x:row r="183" ht="32" customHeight="1">
      <x:c r="A183" s="9" t="inlineStr">
        <x:is>
          <x:t xml:space="preserve">MOD-0182</x:t>
        </x:is>
      </x:c>
      <x:c r="B183" s="9" t="inlineStr">
        <x:is>
          <x:t xml:space="preserve">EMP-037</x:t>
        </x:is>
      </x:c>
      <x:c r="C183" s="9" t="inlineStr">
        <x:is>
          <x:t xml:space="preserve">Natales 80</x:t>
        </x:is>
      </x:c>
      <x:c r="D183" s="9" t="inlineStr">
        <x:is>
          <x:t xml:space="preserve">Natales</x:t>
        </x:is>
      </x:c>
      <x:c r="E183" s="9" t="inlineStr">
        <x:is>
          <x:t xml:space="preserve">Archipiélago</x:t>
        </x:is>
      </x:c>
      <x:c r="F183" s="9" t="inlineStr">
        <x:is>
          <x:t xml:space="preserve">Sí</x:t>
        </x:is>
      </x:c>
      <x:c r="G183" s="9" t="inlineStr">
        <x:is>
          <x:t xml:space="preserve">STEEL_FRAME</x:t>
        </x:is>
      </x:c>
      <x:c r="H183" s="15" t="n">
        <x:v>80</x:v>
      </x:c>
      <x:c r="I183" s="9" t="n">
        <x:v>3</x:v>
      </x:c>
      <x:c r="J183" s="9" t="n">
        <x:v>2</x:v>
      </x:c>
      <x:c r="K183" s="9" t="n">
        <x:v>1</x:v>
      </x:c>
      <x:c r="L183" s="9" t="n">
        <x:v>2</x:v>
      </x:c>
      <x:c r="M183" s="12" t="n">
        <x:v>2.45</x:v>
      </x:c>
      <x:c r="N183" s="9" t="inlineStr">
        <x:is>
          <x:t xml:space="preserve">Panelizado steel frame industrializado</x:t>
        </x:is>
      </x:c>
      <x:c r="O183" s="10" t="inlineStr">
        <x:is>
          <x:t xml:space="preserve">Acero galvanizado + placa OSB/fibrocemento + cámara técnica</x:t>
        </x:is>
      </x:c>
      <x:c r="P183" s="15" t="n">
        <x:v>110</x:v>
      </x:c>
      <x:c r="Q183" s="9" t="inlineStr">
        <x:is>
          <x:t xml:space="preserve">Lana mineral o lana de roca / PET / EPS según zona térmica</x:t>
        </x:is>
      </x:c>
      <x:c r="R183" s="15" t="n">
        <x:v>100</x:v>
      </x:c>
      <x:c r="S183" s="10" t="inlineStr">
        <x:is>
          <x:t xml:space="preserve">Cerchas o paneles steel frame + cubierta metálica</x:t>
        </x:is>
      </x:c>
      <x:c r="T183" s="15" t="n">
        <x:v>180</x:v>
      </x:c>
      <x:c r="U183" s="10" t="inlineStr">
        <x:is>
          <x:t xml:space="preserve">Lana mineral / lana de roca + barrera de vapor</x:t>
        </x:is>
      </x:c>
      <x:c r="V183" s="9" t="inlineStr">
        <x:is>
          <x:t xml:space="preserve">Envigado metálico o plataforma estructural</x:t>
        </x:is>
      </x:c>
      <x:c r="W183" s="10" t="inlineStr">
        <x:is>
          <x:t xml:space="preserve">Lana mineral 50-100 mm + placas estructurales</x:t>
        </x:is>
      </x:c>
      <x:c r="X183" s="9" t="inlineStr">
        <x:is>
          <x:t xml:space="preserve">PVC termopanel</x:t>
        </x:is>
      </x:c>
      <x:c r="Y183" s="9" t="inlineStr">
        <x:is>
          <x:t xml:space="preserve">Estuco sobre placa cementicia</x:t>
        </x:is>
      </x:c>
      <x:c r="Z183" s="9" t="inlineStr">
        <x:is>
          <x:t xml:space="preserve">MDF pintado</x:t>
        </x:is>
      </x:c>
      <x:c r="AA183" s="9" t="inlineStr">
        <x:is>
          <x:t xml:space="preserve">Radier reforzado</x:t>
        </x:is>
      </x:c>
      <x:c r="AB183" s="15" t="n">
        <x:v>8</x:v>
      </x:c>
      <x:c r="AC183" s="15" t="n">
        <x:v>10</x:v>
      </x:c>
      <x:c r="AD183" s="9" t="inlineStr">
        <x:is>
          <x:t xml:space="preserve">Oficina + vivienda</x:t>
        </x:is>
      </x:c>
      <x:c r="AE183" s="9" t="inlineStr">
        <x:is>
          <x:t xml:space="preserve">Sur lluvioso</x:t>
        </x:is>
      </x:c>
      <x:c r="AF183" s="10" t="inlineStr">
        <x:is>
          <x:t xml:space="preserve">Criterio térmico referencial OGUC / reglamentación térmica vigente</x:t>
        </x:is>
      </x:c>
      <x:c r="AG183" s="10" t="inlineStr">
        <x:is>
          <x:t xml:space="preserve">https://www.steelframe.cl/ | https://vhaceros.cl/blog/steel-framing-principios-estructurales-y-ventajas-en-la-construccion-chilena/</x:t>
        </x:is>
      </x:c>
      <x:c r="AH183" s="10" t="inlineStr">
        <x:is>
          <x:t xml:space="preserve">Estructura: Panelizado steel frame industrializado; muros Acero galvanizado + placa OSB/fibrocemento + cámara técnica de 110 mm con aislación Lana mineral o lana de roca / PET / EPS según zona térmica (100 mm); cubierta Cerchas o paneles steel frame + cubierta metálica de 180 mm; ventanas PVC termopanel; revestimiento exterior Siding fibrocemento; interior Yeso cartón; fundación sugerida Vigas de fundación y radier.</x:t>
        </x:is>
      </x:c>
    </x:row>
    <x:row r="184" ht="32" customHeight="1">
      <x:c r="A184" s="9" t="inlineStr">
        <x:is>
          <x:t xml:space="preserve">MOD-0183</x:t>
        </x:is>
      </x:c>
      <x:c r="B184" s="9" t="inlineStr">
        <x:is>
          <x:t xml:space="preserve">EMP-037</x:t>
        </x:is>
      </x:c>
      <x:c r="C184" s="9" t="inlineStr">
        <x:is>
          <x:t xml:space="preserve">Aysén 104</x:t>
        </x:is>
      </x:c>
      <x:c r="D184" s="9" t="inlineStr">
        <x:is>
          <x:t xml:space="preserve">Aysén</x:t>
        </x:is>
      </x:c>
      <x:c r="E184" s="9" t="inlineStr">
        <x:is>
          <x:t xml:space="preserve">Volcán</x:t>
        </x:is>
      </x:c>
      <x:c r="F184" s="9" t="inlineStr">
        <x:is>
          <x:t xml:space="preserve">Sí</x:t>
        </x:is>
      </x:c>
      <x:c r="G184" s="9" t="inlineStr">
        <x:is>
          <x:t xml:space="preserve">SIP</x:t>
        </x:is>
      </x:c>
      <x:c r="H184" s="15" t="n">
        <x:v>104</x:v>
      </x:c>
      <x:c r="I184" s="9" t="n">
        <x:v>3</x:v>
      </x:c>
      <x:c r="J184" s="9" t="n">
        <x:v>2</x:v>
      </x:c>
      <x:c r="K184" s="9" t="n">
        <x:v>1</x:v>
      </x:c>
      <x:c r="L184" s="9" t="n">
        <x:v>3</x:v>
      </x:c>
      <x:c r="M184" s="12" t="n">
        <x:v>2.35</x:v>
      </x:c>
      <x:c r="N184" s="9" t="inlineStr">
        <x:is>
          <x:t xml:space="preserve">Panel SIP estructural OSB/EPS/OSB</x:t>
        </x:is>
      </x:c>
      <x:c r="O184" s="10" t="inlineStr">
        <x:is>
          <x:t xml:space="preserve">2 placas OSB estructural + núcleo EPS alta densidad</x:t>
        </x:is>
      </x:c>
      <x:c r="P184" s="15" t="n">
        <x:v>114</x:v>
      </x:c>
      <x:c r="Q184" s="9" t="inlineStr">
        <x:is>
          <x:t xml:space="preserve">EPS alta densidad 15 kg/m³</x:t>
        </x:is>
      </x:c>
      <x:c r="R184" s="15" t="n">
        <x:v>53</x:v>
      </x:c>
      <x:c r="S184" s="10" t="inlineStr">
        <x:is>
          <x:t xml:space="preserve">Panel SIP de cubierta + membrana hidrófuga + hojalatería</x:t>
        </x:is>
      </x:c>
      <x:c r="T184" s="15" t="n">
        <x:v>130</x:v>
      </x:c>
      <x:c r="U184" s="10" t="inlineStr">
        <x:is>
          <x:t xml:space="preserve">EPS integrado + sellos PU</x:t>
        </x:is>
      </x:c>
      <x:c r="V184" s="9" t="inlineStr">
        <x:is>
          <x:t xml:space="preserve">Base entramado madera o radier con barrera de humedad</x:t>
        </x:is>
      </x:c>
      <x:c r="W184" s="10" t="inlineStr">
        <x:is>
          <x:t xml:space="preserve">Aislación bajo piso PET o lana mineral 50-100 mm</x:t>
        </x:is>
      </x:c>
      <x:c r="X184" s="9" t="inlineStr">
        <x:is>
          <x:t xml:space="preserve">Aluminio con termopanel</x:t>
        </x:is>
      </x:c>
      <x:c r="Y184" s="9" t="inlineStr">
        <x:is>
          <x:t xml:space="preserve">Smart Panel</x:t>
        </x:is>
      </x:c>
      <x:c r="Z184" s="9" t="inlineStr">
        <x:is>
          <x:t xml:space="preserve">Yeso cartón pintado</x:t>
        </x:is>
      </x:c>
      <x:c r="AA184" s="9" t="inlineStr">
        <x:is>
          <x:t xml:space="preserve">Radier afinado</x:t>
        </x:is>
      </x:c>
      <x:c r="AB184" s="15" t="n">
        <x:v>7</x:v>
      </x:c>
      <x:c r="AC184" s="15" t="n">
        <x:v>11</x:v>
      </x:c>
      <x:c r="AD184" s="9" t="inlineStr">
        <x:is>
          <x:t xml:space="preserve">Segunda vivienda</x:t>
        </x:is>
      </x:c>
      <x:c r="AE184" s="9" t="inlineStr">
        <x:is>
          <x:t xml:space="preserve">Sur lluvioso</x:t>
        </x:is>
      </x:c>
      <x:c r="AF184" s="10" t="inlineStr">
        <x:is>
          <x:t xml:space="preserve">NCh3393:2016 (referencial para paneles SIP)</x:t>
        </x:is>
      </x:c>
      <x:c r="AG18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84" s="10" t="inlineStr">
        <x:is>
          <x:t xml:space="preserve">Estructura: Panel SIP estructural con uniones en pino seco; muros 2 placas OSB estructural + núcleo EPS alta densidad de 114 mm con aislación EPS alta densidad 15 kg/m³ (53 mm); cubierta Panel SIP de cubierta + membrana hidrófuga + hojalatería de 130 mm; ventanas PVC DVH; revestimiento exterior Madera tratada; interior Yeso cartón RH en zonas húmedas; fundación sugerida Radier afinado.</x:t>
        </x:is>
      </x:c>
    </x:row>
    <x:row r="185" ht="32" customHeight="1">
      <x:c r="A185" s="9" t="inlineStr">
        <x:is>
          <x:t xml:space="preserve">MOD-0184</x:t>
        </x:is>
      </x:c>
      <x:c r="B185" s="9" t="inlineStr">
        <x:is>
          <x:t xml:space="preserve">EMP-037</x:t>
        </x:is>
      </x:c>
      <x:c r="C185" s="9" t="inlineStr">
        <x:is>
          <x:t xml:space="preserve">Temuco 96</x:t>
        </x:is>
      </x:c>
      <x:c r="D185" s="9" t="inlineStr">
        <x:is>
          <x:t xml:space="preserve">Temuco</x:t>
        </x:is>
      </x:c>
      <x:c r="E185" s="9" t="inlineStr">
        <x:is>
          <x:t xml:space="preserve">Valle</x:t>
        </x:is>
      </x:c>
      <x:c r="F185" s="9" t="inlineStr">
        <x:is>
          <x:t xml:space="preserve">Sí</x:t>
        </x:is>
      </x:c>
      <x:c r="G185" s="9" t="inlineStr">
        <x:is>
          <x:t xml:space="preserve">CONTAINER</x:t>
        </x:is>
      </x:c>
      <x:c r="H185" s="15" t="n">
        <x:v>96</x:v>
      </x:c>
      <x:c r="I185" s="9" t="n">
        <x:v>3</x:v>
      </x:c>
      <x:c r="J185" s="9" t="n">
        <x:v>2</x:v>
      </x:c>
      <x:c r="K185" s="9" t="n">
        <x:v>1</x:v>
      </x:c>
      <x:c r="L185" s="9" t="n">
        <x:v>3</x:v>
      </x:c>
      <x:c r="M185" s="12" t="n">
        <x:v>2.5</x:v>
      </x:c>
      <x:c r="N185" s="9" t="inlineStr">
        <x:is>
          <x:t xml:space="preserve">Contenedor marítimo acondicionado</x:t>
        </x:is>
      </x:c>
      <x:c r="O185" s="10" t="inlineStr">
        <x:is>
          <x:t xml:space="preserve">Estructura container + subestructura interior + revestimiento</x:t>
        </x:is>
      </x:c>
      <x:c r="P185" s="15" t="n">
        <x:v>110</x:v>
      </x:c>
      <x:c r="Q185" s="9" t="inlineStr">
        <x:is>
          <x:t xml:space="preserve">Poliuretano proyectado o EPS/Aislapol 40-60 mm</x:t>
        </x:is>
      </x:c>
      <x:c r="R185" s="15" t="n">
        <x:v>60</x:v>
      </x:c>
      <x:c r="S185" s="10" t="inlineStr">
        <x:is>
          <x:t xml:space="preserve">Cubierta metálica container + sobretecho ventilado opcional</x:t>
        </x:is>
      </x:c>
      <x:c r="T185" s="15" t="n">
        <x:v>100</x:v>
      </x:c>
      <x:c r="U185" s="10" t="inlineStr">
        <x:is>
          <x:t xml:space="preserve">Poliuretano / EPS + barrera anticondensación</x:t>
        </x:is>
      </x:c>
      <x:c r="V185" s="9" t="inlineStr">
        <x:is>
          <x:t xml:space="preserve">Piso terciado 18 mm o base original acondicionada + vinílico</x:t>
        </x:is>
      </x:c>
      <x:c r="W185" s="10" t="inlineStr">
        <x:is>
          <x:t xml:space="preserve">Aislación bajo piso 40-80 mm</x:t>
        </x:is>
      </x:c>
      <x:c r="X185" s="9" t="inlineStr">
        <x:is>
          <x:t xml:space="preserve">Aluminio termopanel</x:t>
        </x:is>
      </x:c>
      <x:c r="Y185" s="9" t="inlineStr">
        <x:is>
          <x:t xml:space="preserve">Plancha metálica prepintada</x:t>
        </x:is>
      </x:c>
      <x:c r="Z185" s="9" t="inlineStr">
        <x:is>
          <x:t xml:space="preserve">Madera pintada</x:t>
        </x:is>
      </x:c>
      <x:c r="AA185" s="9" t="inlineStr">
        <x:is>
          <x:t xml:space="preserve">Radier</x:t>
        </x:is>
      </x:c>
      <x:c r="AB185" s="15" t="n">
        <x:v>4</x:v>
      </x:c>
      <x:c r="AC185" s="15" t="n">
        <x:v>2</x:v>
      </x:c>
      <x:c r="AD185" s="9" t="inlineStr">
        <x:is>
          <x:t xml:space="preserve">Loteo habitacional</x:t>
        </x:is>
      </x:c>
      <x:c r="AE185" s="9" t="inlineStr">
        <x:is>
          <x:t xml:space="preserve">Sur lluvioso</x:t>
        </x:is>
      </x:c>
      <x:c r="AF185" s="10" t="inlineStr">
        <x:is>
          <x:t xml:space="preserve">Criterios de aislación, ventilación y tratamiento anticorrosivo (referencial)</x:t>
        </x:is>
      </x:c>
      <x:c r="AG185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85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(60 mm); cubierta Cubierta metálica container + sobretecho ventilado opcional de 100 mm; ventanas Aluminio termopanel; revestimiento exterior Plancha metálica prepintada; interior Melamina; fundación sugerida Pilotes metálicos.</x:t>
        </x:is>
      </x:c>
    </x:row>
    <x:row r="186" ht="32" customHeight="1">
      <x:c r="A186" s="9" t="inlineStr">
        <x:is>
          <x:t xml:space="preserve">MOD-0185</x:t>
        </x:is>
      </x:c>
      <x:c r="B186" s="9" t="inlineStr">
        <x:is>
          <x:t xml:space="preserve">EMP-037</x:t>
        </x:is>
      </x:c>
      <x:c r="C186" s="9" t="inlineStr">
        <x:is>
          <x:t xml:space="preserve">Valdivia 176</x:t>
        </x:is>
      </x:c>
      <x:c r="D186" s="9" t="inlineStr">
        <x:is>
          <x:t xml:space="preserve">Valdivia</x:t>
        </x:is>
      </x:c>
      <x:c r="E186" s="9" t="inlineStr">
        <x:is>
          <x:t xml:space="preserve">Lago</x:t>
        </x:is>
      </x:c>
      <x:c r="F186" s="9" t="inlineStr">
        <x:is>
          <x:t xml:space="preserve">Sí</x:t>
        </x:is>
      </x:c>
      <x:c r="G186" s="9" t="inlineStr">
        <x:is>
          <x:t xml:space="preserve">HYBRID_MODULAR</x:t>
        </x:is>
      </x:c>
      <x:c r="H186" s="15" t="n">
        <x:v>176</x:v>
      </x:c>
      <x:c r="I186" s="9" t="n">
        <x:v>4</x:v>
      </x:c>
      <x:c r="J186" s="9" t="n">
        <x:v>3</x:v>
      </x:c>
      <x:c r="K186" s="9" t="n">
        <x:v>2</x:v>
      </x:c>
      <x:c r="L186" s="9" t="n">
        <x:v>4</x:v>
      </x:c>
      <x:c r="M186" s="12" t="n">
        <x:v>2.5</x:v>
      </x:c>
      <x:c r="N186" s="9" t="inlineStr">
        <x:is>
          <x:t xml:space="preserve">Módulos de acero + paneles SIP</x:t>
        </x:is>
      </x:c>
      <x:c r="O186" s="10" t="inlineStr">
        <x:is>
          <x:t xml:space="preserve">Acero galvanizado o madera laminada + panel SIP MgO/OSB</x:t>
        </x:is>
      </x:c>
      <x:c r="P186" s="15" t="n">
        <x:v>110</x:v>
      </x:c>
      <x:c r="Q186" s="9" t="inlineStr">
        <x:is>
          <x:t xml:space="preserve">Lana mineral 75-100 mm o EPS integrado</x:t>
        </x:is>
      </x:c>
      <x:c r="R186" s="15" t="n">
        <x:v>90</x:v>
      </x:c>
      <x:c r="S186" s="10" t="inlineStr">
        <x:is>
          <x:t xml:space="preserve">Módulo volumétrico con cubierta panelizada</x:t>
        </x:is>
      </x:c>
      <x:c r="T186" s="15" t="n">
        <x:v>160</x:v>
      </x:c>
      <x:c r="U186" s="10" t="inlineStr">
        <x:is>
          <x:t xml:space="preserve">Lana mineral / EPS / barrera vapor</x:t>
        </x:is>
      </x:c>
      <x:c r="V186" s="9" t="inlineStr">
        <x:is>
          <x:t xml:space="preserve">Bastidor metálico o madera laminada</x:t>
        </x:is>
      </x:c>
      <x:c r="W186" s="10" t="inlineStr">
        <x:is>
          <x:t xml:space="preserve">Lana mineral 80-100 mm + fibrocemento</x:t>
        </x:is>
      </x:c>
      <x:c r="X186" s="9" t="inlineStr">
        <x:is>
          <x:t xml:space="preserve">Aluminio termopanel</x:t>
        </x:is>
      </x:c>
      <x:c r="Y186" s="9" t="inlineStr">
        <x:is>
          <x:t xml:space="preserve">Plancha metálica</x:t>
        </x:is>
      </x:c>
      <x:c r="Z186" s="9" t="inlineStr">
        <x:is>
          <x:t xml:space="preserve">Yeso cartón RH</x:t>
        </x:is>
      </x:c>
      <x:c r="AA186" s="9" t="inlineStr">
        <x:is>
          <x:t xml:space="preserve">Dados de hormigón</x:t>
        </x:is>
      </x:c>
      <x:c r="AB186" s="15" t="n">
        <x:v>8</x:v>
      </x:c>
      <x:c r="AC186" s="15" t="n">
        <x:v>10</x:v>
      </x:c>
      <x:c r="AD186" s="9" t="inlineStr">
        <x:is>
          <x:t xml:space="preserve">Oficina + vivienda</x:t>
        </x:is>
      </x:c>
      <x:c r="AE186" s="9" t="inlineStr">
        <x:is>
          <x:t xml:space="preserve">Sur lluvioso</x:t>
        </x:is>
      </x:c>
      <x:c r="AF186" s="10" t="inlineStr">
        <x:is>
          <x:t xml:space="preserve">Criterios de prefabricación modular y coordinación BIM (referencial)</x:t>
        </x:is>
      </x:c>
      <x:c r="AG186" s="10" t="inlineStr">
        <x:is>
          <x:t xml:space="preserve">https://modul.cl/construccion-de-casas-prefabricadas-modulares/ | https://tecnofasthome.cl/casas-modulares/</x:t>
        </x:is>
      </x:c>
      <x:c r="AH186" s="10" t="inlineStr">
        <x:is>
          <x:t xml:space="preserve">Estructura: Estructura híbrida acero-madera panelizada; muros Acero galvanizado o madera laminada + panel SIP MgO/OSB de 110 mm con aislación Lana mineral 75-100 mm o EPS integrado (90 mm); cubierta Módulo volumétrico con cubierta panelizada de 160 mm; ventanas PVC termopanel; revestimiento exterior Fibrocemento tipo siding; interior Yeso cartón RH; fundación sugerida Radier.</x:t>
        </x:is>
      </x:c>
    </x:row>
    <x:row r="187" ht="32" customHeight="1">
      <x:c r="A187" s="9" t="inlineStr">
        <x:is>
          <x:t xml:space="preserve">MOD-0186</x:t>
        </x:is>
      </x:c>
      <x:c r="B187" s="9" t="inlineStr">
        <x:is>
          <x:t xml:space="preserve">EMP-038</x:t>
        </x:is>
      </x:c>
      <x:c r="C187" s="9" t="inlineStr">
        <x:is>
          <x:t xml:space="preserve">Puerto Varas 42</x:t>
        </x:is>
      </x:c>
      <x:c r="D187" s="9" t="inlineStr">
        <x:is>
          <x:t xml:space="preserve">Puerto Varas</x:t>
        </x:is>
      </x:c>
      <x:c r="E187" s="9" t="inlineStr">
        <x:is>
          <x:t xml:space="preserve">Río</x:t>
        </x:is>
      </x:c>
      <x:c r="F187" s="9" t="inlineStr">
        <x:is>
          <x:t xml:space="preserve">Sí</x:t>
        </x:is>
      </x:c>
      <x:c r="G187" s="9" t="inlineStr">
        <x:is>
          <x:t xml:space="preserve">MODULAR_TIMBER</x:t>
        </x:is>
      </x:c>
      <x:c r="H187" s="15" t="n">
        <x:v>42</x:v>
      </x:c>
      <x:c r="I187" s="9" t="n">
        <x:v>1</x:v>
      </x:c>
      <x:c r="J187" s="9" t="n">
        <x:v>1</x:v>
      </x:c>
      <x:c r="K187" s="9" t="n">
        <x:v>1</x:v>
      </x:c>
      <x:c r="L187" s="9" t="n">
        <x:v>1</x:v>
      </x:c>
      <x:c r="M187" s="12" t="n">
        <x:v>2.5</x:v>
      </x:c>
      <x:c r="N187" s="9" t="inlineStr">
        <x:is>
          <x:t xml:space="preserve">Entramado ligero en pino impregnado</x:t>
        </x:is>
      </x:c>
      <x:c r="O187" s="10" t="inlineStr">
        <x:is>
          <x:t xml:space="preserve">Madera estructural + OSB / terciado + barrera hidrófuga</x:t>
        </x:is>
      </x:c>
      <x:c r="P187" s="15" t="n">
        <x:v>100</x:v>
      </x:c>
      <x:c r="Q187" s="9" t="inlineStr">
        <x:is>
          <x:t xml:space="preserve">Lana mineral / lana de vidrio / PET reciclado</x:t>
        </x:is>
      </x:c>
      <x:c r="R187" s="15" t="n">
        <x:v>90</x:v>
      </x:c>
      <x:c r="S187" s="10" t="inlineStr">
        <x:is>
          <x:t xml:space="preserve">Cercha de madera + cubierta metálica o tejuela asfáltica</x:t>
        </x:is>
      </x:c>
      <x:c r="T187" s="15" t="n">
        <x:v>150</x:v>
      </x:c>
      <x:c r="U187" s="10" t="inlineStr">
        <x:is>
          <x:t xml:space="preserve">Lana mineral 80-140 mm + membrana</x:t>
        </x:is>
      </x:c>
      <x:c r="V187" s="9" t="inlineStr">
        <x:is>
          <x:t xml:space="preserve">Plataforma de madera estructural o radier</x:t>
        </x:is>
      </x:c>
      <x:c r="W187" s="10" t="inlineStr">
        <x:is>
          <x:t xml:space="preserve">Lana mineral 50-100 mm / barrera humedad</x:t>
        </x:is>
      </x:c>
      <x:c r="X187" s="9" t="inlineStr">
        <x:is>
          <x:t xml:space="preserve">Aluminio termopanel</x:t>
        </x:is>
      </x:c>
      <x:c r="Y187" s="9" t="inlineStr">
        <x:is>
          <x:t xml:space="preserve">Siding fibrocemento</x:t>
        </x:is>
      </x:c>
      <x:c r="Z187" s="9" t="inlineStr">
        <x:is>
          <x:t xml:space="preserve">Terciado pintado</x:t>
        </x:is>
      </x:c>
      <x:c r="AA187" s="9" t="inlineStr">
        <x:is>
          <x:t xml:space="preserve">Fundación corrida</x:t>
        </x:is>
      </x:c>
      <x:c r="AB187" s="15" t="n">
        <x:v>5</x:v>
      </x:c>
      <x:c r="AC187" s="15" t="n">
        <x:v>17</x:v>
      </x:c>
      <x:c r="AD187" s="9" t="inlineStr">
        <x:is>
          <x:t xml:space="preserve">Segunda vivienda</x:t>
        </x:is>
      </x:c>
      <x:c r="AE187" s="9" t="inlineStr">
        <x:is>
          <x:t xml:space="preserve">Sur lluvioso</x:t>
        </x:is>
      </x:c>
      <x:c r="AF187" s="10" t="inlineStr">
        <x:is>
          <x:t xml:space="preserve">Especificaciones técnicas de vivienda industrializada en madera (referencial)</x:t>
        </x:is>
      </x:c>
      <x:c r="AG187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87" s="10" t="inlineStr">
        <x:is>
          <x:t xml:space="preserve">Estructura: Entramado ligero en pino impregnado; muros Madera estructural + OSB / terciado + barrera hidrófuga de 100 mm con aislación Lana mineral / lana de vidrio / PET reciclado (90 mm); cubierta Cercha de madera + cubierta metálica o tejuela asfáltica de 150 mm; ventanas PVC termopanel; revestimiento exterior Smart Panel; interior Terciado pintado; fundación sugerida Radier.</x:t>
        </x:is>
      </x:c>
    </x:row>
    <x:row r="188" ht="32" customHeight="1">
      <x:c r="A188" s="9" t="inlineStr">
        <x:is>
          <x:t xml:space="preserve">MOD-0187</x:t>
        </x:is>
      </x:c>
      <x:c r="B188" s="9" t="inlineStr">
        <x:is>
          <x:t xml:space="preserve">EMP-038</x:t>
        </x:is>
      </x:c>
      <x:c r="C188" s="9" t="inlineStr">
        <x:is>
          <x:t xml:space="preserve">Frutillar 80</x:t>
        </x:is>
      </x:c>
      <x:c r="D188" s="9" t="inlineStr">
        <x:is>
          <x:t xml:space="preserve">Frutillar</x:t>
        </x:is>
      </x:c>
      <x:c r="E188" s="9" t="inlineStr">
        <x:is>
          <x:t xml:space="preserve">Río</x:t>
        </x:is>
      </x:c>
      <x:c r="F188" s="9" t="inlineStr">
        <x:is>
          <x:t xml:space="preserve">Sí</x:t>
        </x:is>
      </x:c>
      <x:c r="G188" s="9" t="inlineStr">
        <x:is>
          <x:t xml:space="preserve">MODULAR_TIMBER</x:t>
        </x:is>
      </x:c>
      <x:c r="H188" s="15" t="n">
        <x:v>80</x:v>
      </x:c>
      <x:c r="I188" s="9" t="n">
        <x:v>3</x:v>
      </x:c>
      <x:c r="J188" s="9" t="n">
        <x:v>2</x:v>
      </x:c>
      <x:c r="K188" s="9" t="n">
        <x:v>1</x:v>
      </x:c>
      <x:c r="L188" s="9" t="n">
        <x:v>2</x:v>
      </x:c>
      <x:c r="M188" s="12" t="n">
        <x:v>2.45</x:v>
      </x:c>
      <x:c r="N188" s="9" t="inlineStr">
        <x:is>
          <x:t xml:space="preserve">Wood frame modular</x:t>
        </x:is>
      </x:c>
      <x:c r="O188" s="10" t="inlineStr">
        <x:is>
          <x:t xml:space="preserve">Madera estructural + OSB / terciado + barrera hidrófuga</x:t>
        </x:is>
      </x:c>
      <x:c r="P188" s="15" t="n">
        <x:v>120</x:v>
      </x:c>
      <x:c r="Q188" s="9" t="inlineStr">
        <x:is>
          <x:t xml:space="preserve">Lana mineral / lana de vidrio / PET reciclado</x:t>
        </x:is>
      </x:c>
      <x:c r="R188" s="15" t="n">
        <x:v>60</x:v>
      </x:c>
      <x:c r="S188" s="10" t="inlineStr">
        <x:is>
          <x:t xml:space="preserve">Cercha de madera + cubierta metálica o tejuela asfáltica</x:t>
        </x:is>
      </x:c>
      <x:c r="T188" s="15" t="n">
        <x:v>150</x:v>
      </x:c>
      <x:c r="U188" s="10" t="inlineStr">
        <x:is>
          <x:t xml:space="preserve">Lana mineral 80-140 mm + membrana</x:t>
        </x:is>
      </x:c>
      <x:c r="V188" s="9" t="inlineStr">
        <x:is>
          <x:t xml:space="preserve">Plataforma de madera estructural o radier</x:t>
        </x:is>
      </x:c>
      <x:c r="W188" s="10" t="inlineStr">
        <x:is>
          <x:t xml:space="preserve">Lana mineral 50-100 mm / barrera humedad</x:t>
        </x:is>
      </x:c>
      <x:c r="X188" s="9" t="inlineStr">
        <x:is>
          <x:t xml:space="preserve">Aluminio termopanel</x:t>
        </x:is>
      </x:c>
      <x:c r="Y188" s="9" t="inlineStr">
        <x:is>
          <x:t xml:space="preserve">Smart Panel</x:t>
        </x:is>
      </x:c>
      <x:c r="Z188" s="9" t="inlineStr">
        <x:is>
          <x:t xml:space="preserve">Terciado pintado</x:t>
        </x:is>
      </x:c>
      <x:c r="AA188" s="9" t="inlineStr">
        <x:is>
          <x:t xml:space="preserve">Fundación corrida</x:t>
        </x:is>
      </x:c>
      <x:c r="AB188" s="15" t="n">
        <x:v>7</x:v>
      </x:c>
      <x:c r="AC188" s="15" t="n">
        <x:v>18</x:v>
      </x:c>
      <x:c r="AD188" s="9" t="inlineStr">
        <x:is>
          <x:t xml:space="preserve">Oficina + vivienda</x:t>
        </x:is>
      </x:c>
      <x:c r="AE188" s="9" t="inlineStr">
        <x:is>
          <x:t xml:space="preserve">Sur lluvioso</x:t>
        </x:is>
      </x:c>
      <x:c r="AF188" s="10" t="inlineStr">
        <x:is>
          <x:t xml:space="preserve">Especificaciones técnicas de vivienda industrializada en madera (referencial)</x:t>
        </x:is>
      </x:c>
      <x:c r="AG188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88" s="10" t="inlineStr">
        <x:is>
          <x:t xml:space="preserve">Estructura: Entramado ligero en pino impregnado; muros Madera estructural + OSB / terciado + barrera hidrófuga de 120 mm con aislación Lana mineral / lana de vidrio / PET reciclado (60 mm); cubierta Cercha de madera + cubierta metálica o tejuela asfáltica de 150 mm; ventanas PVC termopanel; revestimiento exterior Smart Panel; interior MDF ranurado; fundación sugerida Radier.</x:t>
        </x:is>
      </x:c>
    </x:row>
    <x:row r="189" ht="32" customHeight="1">
      <x:c r="A189" s="9" t="inlineStr">
        <x:is>
          <x:t xml:space="preserve">MOD-0188</x:t>
        </x:is>
      </x:c>
      <x:c r="B189" s="9" t="inlineStr">
        <x:is>
          <x:t xml:space="preserve">EMP-038</x:t>
        </x:is>
      </x:c>
      <x:c r="C189" s="9" t="inlineStr">
        <x:is>
          <x:t xml:space="preserve">Panguipulli 80</x:t>
        </x:is>
      </x:c>
      <x:c r="D189" s="9" t="inlineStr">
        <x:is>
          <x:t xml:space="preserve">Panguipulli</x:t>
        </x:is>
      </x:c>
      <x:c r="E189" s="9" t="inlineStr">
        <x:is>
          <x:t xml:space="preserve">Archipiélago</x:t>
        </x:is>
      </x:c>
      <x:c r="F189" s="9" t="inlineStr">
        <x:is>
          <x:t xml:space="preserve">Sí</x:t>
        </x:is>
      </x:c>
      <x:c r="G189" s="9" t="inlineStr">
        <x:is>
          <x:t xml:space="preserve">SIP</x:t>
        </x:is>
      </x:c>
      <x:c r="H189" s="15" t="n">
        <x:v>80</x:v>
      </x:c>
      <x:c r="I189" s="9" t="n">
        <x:v>3</x:v>
      </x:c>
      <x:c r="J189" s="9" t="n">
        <x:v>2</x:v>
      </x:c>
      <x:c r="K189" s="9" t="n">
        <x:v>1</x:v>
      </x:c>
      <x:c r="L189" s="9" t="n">
        <x:v>2</x:v>
      </x:c>
      <x:c r="M189" s="12" t="n">
        <x:v>2.45</x:v>
      </x:c>
      <x:c r="N189" s="9" t="inlineStr">
        <x:is>
          <x:t xml:space="preserve">Panel SIP estructural con uniones en pino seco</x:t>
        </x:is>
      </x:c>
      <x:c r="O189" s="10" t="inlineStr">
        <x:is>
          <x:t xml:space="preserve">2 placas OSB estructural + núcleo EPS alta densidad</x:t>
        </x:is>
      </x:c>
      <x:c r="P189" s="15" t="n">
        <x:v>90</x:v>
      </x:c>
      <x:c r="Q189" s="9" t="inlineStr">
        <x:is>
          <x:t xml:space="preserve">EPS alta densidad 15 kg/m³</x:t>
        </x:is>
      </x:c>
      <x:c r="R189" s="15" t="n">
        <x:v>53</x:v>
      </x:c>
      <x:c r="S189" s="10" t="inlineStr">
        <x:is>
          <x:t xml:space="preserve">Panel SIP de cubierta + membrana hidrófuga + hojalatería</x:t>
        </x:is>
      </x:c>
      <x:c r="T189" s="15" t="n">
        <x:v>164</x:v>
      </x:c>
      <x:c r="U189" s="10" t="inlineStr">
        <x:is>
          <x:t xml:space="preserve">EPS integrado + sellos PU</x:t>
        </x:is>
      </x:c>
      <x:c r="V189" s="9" t="inlineStr">
        <x:is>
          <x:t xml:space="preserve">Base entramado madera o radier con barrera de humedad</x:t>
        </x:is>
      </x:c>
      <x:c r="W189" s="10" t="inlineStr">
        <x:is>
          <x:t xml:space="preserve">Aislación bajo piso PET o lana mineral 50-100 mm</x:t>
        </x:is>
      </x:c>
      <x:c r="X189" s="9" t="inlineStr">
        <x:is>
          <x:t xml:space="preserve">Aluminio con termopanel</x:t>
        </x:is>
      </x:c>
      <x:c r="Y189" s="9" t="inlineStr">
        <x:is>
          <x:t xml:space="preserve">Madera tratada</x:t>
        </x:is>
      </x:c>
      <x:c r="Z189" s="9" t="inlineStr">
        <x:is>
          <x:t xml:space="preserve">OSB sellado y pintado</x:t>
        </x:is>
      </x:c>
      <x:c r="AA189" s="9" t="inlineStr">
        <x:is>
          <x:t xml:space="preserve">Sobrecimientos y radier</x:t>
        </x:is>
      </x:c>
      <x:c r="AB189" s="15" t="n">
        <x:v>4</x:v>
      </x:c>
      <x:c r="AC189" s="15" t="n">
        <x:v>10</x:v>
      </x:c>
      <x:c r="AD189" s="9" t="inlineStr">
        <x:is>
          <x:t xml:space="preserve">Oficina + vivienda</x:t>
        </x:is>
      </x:c>
      <x:c r="AE189" s="9" t="inlineStr">
        <x:is>
          <x:t xml:space="preserve">Sur lluvioso</x:t>
        </x:is>
      </x:c>
      <x:c r="AF189" s="10" t="inlineStr">
        <x:is>
          <x:t xml:space="preserve">NCh3393:2016 (referencial para paneles SIP)</x:t>
        </x:is>
      </x:c>
      <x:c r="AG18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89" s="10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164 mm; ventanas PVC termopanel; revestimiento exterior Madera tratada; interior OSB sellado y pintado; fundación sugerida Pilotes metálicos.</x:t>
        </x:is>
      </x:c>
    </x:row>
    <x:row r="190" ht="32" customHeight="1">
      <x:c r="A190" s="9" t="inlineStr">
        <x:is>
          <x:t xml:space="preserve">MOD-0189</x:t>
        </x:is>
      </x:c>
      <x:c r="B190" s="9" t="inlineStr">
        <x:is>
          <x:t xml:space="preserve">EMP-038</x:t>
        </x:is>
      </x:c>
      <x:c r="C190" s="9" t="inlineStr">
        <x:is>
          <x:t xml:space="preserve">Curicó 120</x:t>
        </x:is>
      </x:c>
      <x:c r="D190" s="9" t="inlineStr">
        <x:is>
          <x:t xml:space="preserve">Curicó</x:t>
        </x:is>
      </x:c>
      <x:c r="E190" s="9" t="inlineStr">
        <x:is>
          <x:t xml:space="preserve">Valle</x:t>
        </x:is>
      </x:c>
      <x:c r="F190" s="9" t="inlineStr">
        <x:is>
          <x:t xml:space="preserve">Sí</x:t>
        </x:is>
      </x:c>
      <x:c r="G190" s="9" t="inlineStr">
        <x:is>
          <x:t xml:space="preserve">HYBRID_MODULAR</x:t>
        </x:is>
      </x:c>
      <x:c r="H190" s="15" t="n">
        <x:v>120</x:v>
      </x:c>
      <x:c r="I190" s="9" t="n">
        <x:v>3</x:v>
      </x:c>
      <x:c r="J190" s="9" t="n">
        <x:v>2</x:v>
      </x:c>
      <x:c r="K190" s="9" t="n">
        <x:v>1</x:v>
      </x:c>
      <x:c r="L190" s="9" t="n">
        <x:v>3</x:v>
      </x:c>
      <x:c r="M190" s="12" t="n">
        <x:v>2.35</x:v>
      </x:c>
      <x:c r="N190" s="9" t="inlineStr">
        <x:is>
          <x:t xml:space="preserve">Estructura híbrida acero-madera panelizada</x:t>
        </x:is>
      </x:c>
      <x:c r="O190" s="10" t="inlineStr">
        <x:is>
          <x:t xml:space="preserve">Acero galvanizado o madera laminada + panel SIP MgO/OSB</x:t>
        </x:is>
      </x:c>
      <x:c r="P190" s="15" t="n">
        <x:v>110</x:v>
      </x:c>
      <x:c r="Q190" s="9" t="inlineStr">
        <x:is>
          <x:t xml:space="preserve">Lana mineral 75-100 mm o EPS integrado</x:t>
        </x:is>
      </x:c>
      <x:c r="R190" s="15" t="n">
        <x:v>100</x:v>
      </x:c>
      <x:c r="S190" s="10" t="inlineStr">
        <x:is>
          <x:t xml:space="preserve">Módulo volumétrico con cubierta panelizada</x:t>
        </x:is>
      </x:c>
      <x:c r="T190" s="15" t="n">
        <x:v>160</x:v>
      </x:c>
      <x:c r="U190" s="10" t="inlineStr">
        <x:is>
          <x:t xml:space="preserve">Lana mineral / EPS / barrera vapor</x:t>
        </x:is>
      </x:c>
      <x:c r="V190" s="9" t="inlineStr">
        <x:is>
          <x:t xml:space="preserve">Bastidor metálico o madera laminada</x:t>
        </x:is>
      </x:c>
      <x:c r="W190" s="10" t="inlineStr">
        <x:is>
          <x:t xml:space="preserve">Lana mineral 80-100 mm + fibrocemento</x:t>
        </x:is>
      </x:c>
      <x:c r="X190" s="9" t="inlineStr">
        <x:is>
          <x:t xml:space="preserve">Aluminio termopanel</x:t>
        </x:is>
      </x:c>
      <x:c r="Y190" s="9" t="inlineStr">
        <x:is>
          <x:t xml:space="preserve">Plancha metálica</x:t>
        </x:is>
      </x:c>
      <x:c r="Z190" s="9" t="inlineStr">
        <x:is>
          <x:t xml:space="preserve">Yeso cartón RH</x:t>
        </x:is>
      </x:c>
      <x:c r="AA190" s="9" t="inlineStr">
        <x:is>
          <x:t xml:space="preserve">Radier</x:t>
        </x:is>
      </x:c>
      <x:c r="AB190" s="15" t="n">
        <x:v>8</x:v>
      </x:c>
      <x:c r="AC190" s="15" t="n">
        <x:v>5</x:v>
      </x:c>
      <x:c r="AD190" s="9" t="inlineStr">
        <x:is>
          <x:t xml:space="preserve">Primera vivienda</x:t>
        </x:is>
      </x:c>
      <x:c r="AE190" s="9" t="inlineStr">
        <x:is>
          <x:t xml:space="preserve">Sur lluvioso</x:t>
        </x:is>
      </x:c>
      <x:c r="AF190" s="10" t="inlineStr">
        <x:is>
          <x:t xml:space="preserve">Criterios de prefabricación modular y coordinación BIM (referencial)</x:t>
        </x:is>
      </x:c>
      <x:c r="AG190" s="10" t="inlineStr">
        <x:is>
          <x:t xml:space="preserve">https://modul.cl/construccion-de-casas-prefabricadas-modulares/ | https://tecnofasthome.cl/casas-modulares/</x:t>
        </x:is>
      </x:c>
      <x:c r="AH190" s="10" t="inlineStr">
        <x:is>
          <x:t xml:space="preserve">Estructura: Módulos de acero + paneles SIP; muros Acero galvanizado o madera laminada + panel SIP MgO/OSB de 110 mm con aislación Lana mineral 75-100 mm o EPS integrado (100 mm); cubierta Módulo volumétrico con cubierta panelizada de 160 mm; ventanas PVC termopanel; revestimiento exterior Plancha metálica; interior Melamina blanca; fundación sugerida Radier.</x:t>
        </x:is>
      </x:c>
    </x:row>
    <x:row r="191" ht="32" customHeight="1">
      <x:c r="A191" s="9" t="inlineStr">
        <x:is>
          <x:t xml:space="preserve">MOD-0190</x:t>
        </x:is>
      </x:c>
      <x:c r="B191" s="9" t="inlineStr">
        <x:is>
          <x:t xml:space="preserve">EMP-038</x:t>
        </x:is>
      </x:c>
      <x:c r="C191" s="9" t="inlineStr">
        <x:is>
          <x:t xml:space="preserve">Talca 210</x:t>
        </x:is>
      </x:c>
      <x:c r="D191" s="9" t="inlineStr">
        <x:is>
          <x:t xml:space="preserve">Talca</x:t>
        </x:is>
      </x:c>
      <x:c r="E191" s="9" t="inlineStr">
        <x:is>
          <x:t xml:space="preserve">Volcán</x:t>
        </x:is>
      </x:c>
      <x:c r="F191" s="9" t="inlineStr">
        <x:is>
          <x:t xml:space="preserve">Sí</x:t>
        </x:is>
      </x:c>
      <x:c r="G191" s="9" t="inlineStr">
        <x:is>
          <x:t xml:space="preserve">STEEL_FRAME</x:t>
        </x:is>
      </x:c>
      <x:c r="H191" s="15" t="n">
        <x:v>210</x:v>
      </x:c>
      <x:c r="I191" s="9" t="n">
        <x:v>4</x:v>
      </x:c>
      <x:c r="J191" s="9" t="n">
        <x:v>3</x:v>
      </x:c>
      <x:c r="K191" s="9" t="n">
        <x:v>2</x:v>
      </x:c>
      <x:c r="L191" s="9" t="n">
        <x:v>4</x:v>
      </x:c>
      <x:c r="M191" s="12" t="n">
        <x:v>2.35</x:v>
      </x:c>
      <x:c r="N191" s="9" t="inlineStr">
        <x:is>
          <x:t xml:space="preserve">Perfilería de acero galvanizado liviano</x:t>
        </x:is>
      </x:c>
      <x:c r="O191" s="10" t="inlineStr">
        <x:is>
          <x:t xml:space="preserve">Acero galvanizado + placa OSB/fibrocemento + cámara técnica</x:t>
        </x:is>
      </x:c>
      <x:c r="P191" s="15" t="n">
        <x:v>160</x:v>
      </x:c>
      <x:c r="Q191" s="9" t="inlineStr">
        <x:is>
          <x:t xml:space="preserve">Lana mineral o lana de roca / PET / EPS según zona térmica</x:t>
        </x:is>
      </x:c>
      <x:c r="R191" s="15" t="n">
        <x:v>100</x:v>
      </x:c>
      <x:c r="S191" s="10" t="inlineStr">
        <x:is>
          <x:t xml:space="preserve">Cerchas o paneles steel frame + cubierta metálica</x:t>
        </x:is>
      </x:c>
      <x:c r="T191" s="15" t="n">
        <x:v>120</x:v>
      </x:c>
      <x:c r="U191" s="10" t="inlineStr">
        <x:is>
          <x:t xml:space="preserve">Lana mineral / lana de roca + barrera de vapor</x:t>
        </x:is>
      </x:c>
      <x:c r="V191" s="9" t="inlineStr">
        <x:is>
          <x:t xml:space="preserve">Envigado metálico o plataforma estructural</x:t>
        </x:is>
      </x:c>
      <x:c r="W191" s="10" t="inlineStr">
        <x:is>
          <x:t xml:space="preserve">Lana mineral 50-100 mm + placas estructurales</x:t>
        </x:is>
      </x:c>
      <x:c r="X191" s="9" t="inlineStr">
        <x:is>
          <x:t xml:space="preserve">PVC termopanel</x:t>
        </x:is>
      </x:c>
      <x:c r="Y191" s="9" t="inlineStr">
        <x:is>
          <x:t xml:space="preserve">Estuco sobre placa cementicia</x:t>
        </x:is>
      </x:c>
      <x:c r="Z191" s="9" t="inlineStr">
        <x:is>
          <x:t xml:space="preserve">MDF pintado</x:t>
        </x:is>
      </x:c>
      <x:c r="AA191" s="9" t="inlineStr">
        <x:is>
          <x:t xml:space="preserve">Radier reforzado</x:t>
        </x:is>
      </x:c>
      <x:c r="AB191" s="15" t="n">
        <x:v>6</x:v>
      </x:c>
      <x:c r="AC191" s="15" t="n">
        <x:v>9</x:v>
      </x:c>
      <x:c r="AD191" s="9" t="inlineStr">
        <x:is>
          <x:t xml:space="preserve">Cabaña permanente</x:t>
        </x:is>
      </x:c>
      <x:c r="AE191" s="9" t="inlineStr">
        <x:is>
          <x:t xml:space="preserve">Sur lluvioso</x:t>
        </x:is>
      </x:c>
      <x:c r="AF191" s="10" t="inlineStr">
        <x:is>
          <x:t xml:space="preserve">Criterio térmico referencial OGUC / reglamentación térmica vigente</x:t>
        </x:is>
      </x:c>
      <x:c r="AG191" s="10" t="inlineStr">
        <x:is>
          <x:t xml:space="preserve">https://www.steelframe.cl/ | https://vhaceros.cl/blog/steel-framing-principios-estructurales-y-ventajas-en-la-construccion-chilena/</x:t>
        </x:is>
      </x:c>
      <x:c r="AH191" s="10" t="inlineStr">
        <x:is>
          <x:t xml:space="preserve">Estructura: Panelizado steel frame industrializado; muros Acero galvanizado + placa OSB/fibrocemento + cámara técnica de 160 mm con aislación Lana mineral o lana de roca / PET / EPS según zona térmica (100 mm); cubierta Cerchas o paneles steel frame + cubierta metálica de 120 mm; ventanas PVC termopanel; revestimiento exterior Siding fibrocemento; interior Yeso cartón; fundación sugerida Vigas de fundación y radier.</x:t>
        </x:is>
      </x:c>
    </x:row>
    <x:row r="192" ht="32" customHeight="1">
      <x:c r="A192" s="9" t="inlineStr">
        <x:is>
          <x:t xml:space="preserve">MOD-0191</x:t>
        </x:is>
      </x:c>
      <x:c r="B192" s="9" t="inlineStr">
        <x:is>
          <x:t xml:space="preserve">EMP-039</x:t>
        </x:is>
      </x:c>
      <x:c r="C192" s="9" t="inlineStr">
        <x:is>
          <x:t xml:space="preserve">Chillán 66</x:t>
        </x:is>
      </x:c>
      <x:c r="D192" s="9" t="inlineStr">
        <x:is>
          <x:t xml:space="preserve">Chillán</x:t>
        </x:is>
      </x:c>
      <x:c r="E192" s="9" t="inlineStr">
        <x:is>
          <x:t xml:space="preserve">Ciudad</x:t>
        </x:is>
      </x:c>
      <x:c r="F192" s="9" t="inlineStr">
        <x:is>
          <x:t xml:space="preserve">Sí</x:t>
        </x:is>
      </x:c>
      <x:c r="G192" s="9" t="inlineStr">
        <x:is>
          <x:t xml:space="preserve">CONTAINER</x:t>
        </x:is>
      </x:c>
      <x:c r="H192" s="15" t="n">
        <x:v>66</x:v>
      </x:c>
      <x:c r="I192" s="9" t="n">
        <x:v>2</x:v>
      </x:c>
      <x:c r="J192" s="9" t="n">
        <x:v>2</x:v>
      </x:c>
      <x:c r="K192" s="9" t="n">
        <x:v>1</x:v>
      </x:c>
      <x:c r="L192" s="9" t="n">
        <x:v>2</x:v>
      </x:c>
      <x:c r="M192" s="12" t="n">
        <x:v>2.35</x:v>
      </x:c>
      <x:c r="N192" s="9" t="inlineStr">
        <x:is>
          <x:t xml:space="preserve">Contenedor marítimo acondicionado</x:t>
        </x:is>
      </x:c>
      <x:c r="O192" s="10" t="inlineStr">
        <x:is>
          <x:t xml:space="preserve">Estructura container + subestructura interior + revestimiento</x:t>
        </x:is>
      </x:c>
      <x:c r="P192" s="15" t="n">
        <x:v>110</x:v>
      </x:c>
      <x:c r="Q192" s="9" t="inlineStr">
        <x:is>
          <x:t xml:space="preserve">Poliuretano proyectado o EPS/Aislapol 40-60 mm</x:t>
        </x:is>
      </x:c>
      <x:c r="R192" s="15" t="n">
        <x:v>40</x:v>
      </x:c>
      <x:c r="S192" s="10" t="inlineStr">
        <x:is>
          <x:t xml:space="preserve">Cubierta metálica container + sobretecho ventilado opcional</x:t>
        </x:is>
      </x:c>
      <x:c r="T192" s="15" t="n">
        <x:v>80</x:v>
      </x:c>
      <x:c r="U192" s="10" t="inlineStr">
        <x:is>
          <x:t xml:space="preserve">Poliuretano / EPS + barrera anticondensación</x:t>
        </x:is>
      </x:c>
      <x:c r="V192" s="9" t="inlineStr">
        <x:is>
          <x:t xml:space="preserve">Piso terciado 18 mm o base original acondicionada + vinílico</x:t>
        </x:is>
      </x:c>
      <x:c r="W192" s="10" t="inlineStr">
        <x:is>
          <x:t xml:space="preserve">Aislación bajo piso 40-80 mm</x:t>
        </x:is>
      </x:c>
      <x:c r="X192" s="9" t="inlineStr">
        <x:is>
          <x:t xml:space="preserve">Aluminio termopanel</x:t>
        </x:is>
      </x:c>
      <x:c r="Y192" s="9" t="inlineStr">
        <x:is>
          <x:t xml:space="preserve">Acero galvanizado pintado</x:t>
        </x:is>
      </x:c>
      <x:c r="Z192" s="9" t="inlineStr">
        <x:is>
          <x:t xml:space="preserve">Melamina</x:t>
        </x:is>
      </x:c>
      <x:c r="AA192" s="9" t="inlineStr">
        <x:is>
          <x:t xml:space="preserve">Pilotes metálicos</x:t>
        </x:is>
      </x:c>
      <x:c r="AB192" s="15" t="n">
        <x:v>6</x:v>
      </x:c>
      <x:c r="AC192" s="15" t="n">
        <x:v>7</x:v>
      </x:c>
      <x:c r="AD192" s="9" t="inlineStr">
        <x:is>
          <x:t xml:space="preserve">Oficina + vivienda</x:t>
        </x:is>
      </x:c>
      <x:c r="AE192" s="9" t="inlineStr">
        <x:is>
          <x:t xml:space="preserve">Sur lluvioso</x:t>
        </x:is>
      </x:c>
      <x:c r="AF192" s="10" t="inlineStr">
        <x:is>
          <x:t xml:space="preserve">Criterios de aislación, ventilación y tratamiento anticorrosivo (referencial)</x:t>
        </x:is>
      </x:c>
      <x:c r="AG192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92" s="10" t="inlineStr">
        <x:is>
          <x:t xml:space="preserve">Estructura: Contenedor marítimo acondicionado; muros Estructura container + subestructura interior + revestimiento de 110 mm con aislación Poliuretano proyectado o EPS/Aislapol 40-60 mm (40 mm); cubierta Cubierta metálica container + sobretecho ventilado opcional de 80 mm; ventanas Aluminio termopanel; revestimiento exterior Acero galvanizado pintado; interior Yeso cartón; fundación sugerida Radier.</x:t>
        </x:is>
      </x:c>
    </x:row>
    <x:row r="193" ht="32" customHeight="1">
      <x:c r="A193" s="9" t="inlineStr">
        <x:is>
          <x:t xml:space="preserve">MOD-0192</x:t>
        </x:is>
      </x:c>
      <x:c r="B193" s="9" t="inlineStr">
        <x:is>
          <x:t xml:space="preserve">EMP-039</x:t>
        </x:is>
      </x:c>
      <x:c r="C193" s="9" t="inlineStr">
        <x:is>
          <x:t xml:space="preserve">Concepción 72</x:t>
        </x:is>
      </x:c>
      <x:c r="D193" s="9" t="inlineStr">
        <x:is>
          <x:t xml:space="preserve">Concepción</x:t>
        </x:is>
      </x:c>
      <x:c r="E193" s="9" t="inlineStr">
        <x:is>
          <x:t xml:space="preserve">Comuna</x:t>
        </x:is>
      </x:c>
      <x:c r="F193" s="9" t="inlineStr">
        <x:is>
          <x:t xml:space="preserve">Sí</x:t>
        </x:is>
      </x:c>
      <x:c r="G193" s="9" t="inlineStr">
        <x:is>
          <x:t xml:space="preserve">CONTAINER</x:t>
        </x:is>
      </x:c>
      <x:c r="H193" s="15" t="n">
        <x:v>72</x:v>
      </x:c>
      <x:c r="I193" s="9" t="n">
        <x:v>2</x:v>
      </x:c>
      <x:c r="J193" s="9" t="n">
        <x:v>2</x:v>
      </x:c>
      <x:c r="K193" s="9" t="n">
        <x:v>1</x:v>
      </x:c>
      <x:c r="L193" s="9" t="n">
        <x:v>2</x:v>
      </x:c>
      <x:c r="M193" s="12" t="n">
        <x:v>2.35</x:v>
      </x:c>
      <x:c r="N193" s="9" t="inlineStr">
        <x:is>
          <x:t xml:space="preserve">Contenedor marítimo acondicionado</x:t>
        </x:is>
      </x:c>
      <x:c r="O193" s="10" t="inlineStr">
        <x:is>
          <x:t xml:space="preserve">Estructura container + subestructura interior + revestimiento</x:t>
        </x:is>
      </x:c>
      <x:c r="P193" s="15" t="n">
        <x:v>140</x:v>
      </x:c>
      <x:c r="Q193" s="9" t="inlineStr">
        <x:is>
          <x:t xml:space="preserve">Poliuretano proyectado o EPS/Aislapol 40-60 mm</x:t>
        </x:is>
      </x:c>
      <x:c r="R193" s="15" t="n">
        <x:v>40</x:v>
      </x:c>
      <x:c r="S193" s="10" t="inlineStr">
        <x:is>
          <x:t xml:space="preserve">Cubierta metálica container + sobretecho ventilado opcional</x:t>
        </x:is>
      </x:c>
      <x:c r="T193" s="15" t="n">
        <x:v>100</x:v>
      </x:c>
      <x:c r="U193" s="10" t="inlineStr">
        <x:is>
          <x:t xml:space="preserve">Poliuretano / EPS + barrera anticondensación</x:t>
        </x:is>
      </x:c>
      <x:c r="V193" s="9" t="inlineStr">
        <x:is>
          <x:t xml:space="preserve">Piso terciado 18 mm o base original acondicionada + vinílico</x:t>
        </x:is>
      </x:c>
      <x:c r="W193" s="10" t="inlineStr">
        <x:is>
          <x:t xml:space="preserve">Aislación bajo piso 40-80 mm</x:t>
        </x:is>
      </x:c>
      <x:c r="X193" s="9" t="inlineStr">
        <x:is>
          <x:t xml:space="preserve">Aluminio termopanel</x:t>
        </x:is>
      </x:c>
      <x:c r="Y193" s="9" t="inlineStr">
        <x:is>
          <x:t xml:space="preserve">Plancha metálica prepintada</x:t>
        </x:is>
      </x:c>
      <x:c r="Z193" s="9" t="inlineStr">
        <x:is>
          <x:t xml:space="preserve">Madera pintada</x:t>
        </x:is>
      </x:c>
      <x:c r="AA193" s="9" t="inlineStr">
        <x:is>
          <x:t xml:space="preserve">Dados de hormigón</x:t>
        </x:is>
      </x:c>
      <x:c r="AB193" s="15" t="n">
        <x:v>6</x:v>
      </x:c>
      <x:c r="AC193" s="15" t="n">
        <x:v>5</x:v>
      </x:c>
      <x:c r="AD193" s="9" t="inlineStr">
        <x:is>
          <x:t xml:space="preserve">Turismo / arriendo</x:t>
        </x:is>
      </x:c>
      <x:c r="AE193" s="9" t="inlineStr">
        <x:is>
          <x:t xml:space="preserve">Sur lluvioso</x:t>
        </x:is>
      </x:c>
      <x:c r="AF193" s="10" t="inlineStr">
        <x:is>
          <x:t xml:space="preserve">Criterios de aislación, ventilación y tratamiento anticorrosivo (referencial)</x:t>
        </x:is>
      </x:c>
      <x:c r="AG193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93" s="10" t="inlineStr">
        <x:is>
          <x:t xml:space="preserve">Estructura: Módulo habitacional de acero galvanizado / corten; muros Estructura container + subestructura interior + revestimiento de 140 mm con aislación Poliuretano proyectado o EPS/Aislapol 40-60 mm (40 mm); cubierta Cubierta metálica container + sobretecho ventilado opcional de 100 mm; ventanas PVC termopanel; revestimiento exterior Madera tratada ventilada; interior Yeso cartón; fundación sugerida Dados de hormigón.</x:t>
        </x:is>
      </x:c>
    </x:row>
    <x:row r="194" ht="32" customHeight="1">
      <x:c r="A194" s="9" t="inlineStr">
        <x:is>
          <x:t xml:space="preserve">MOD-0193</x:t>
        </x:is>
      </x:c>
      <x:c r="B194" s="9" t="inlineStr">
        <x:is>
          <x:t xml:space="preserve">EMP-039</x:t>
        </x:is>
      </x:c>
      <x:c r="C194" s="9" t="inlineStr">
        <x:is>
          <x:t xml:space="preserve">Quillota 72</x:t>
        </x:is>
      </x:c>
      <x:c r="D194" s="9" t="inlineStr">
        <x:is>
          <x:t xml:space="preserve">Quillota</x:t>
        </x:is>
      </x:c>
      <x:c r="E194" s="9" t="inlineStr">
        <x:is>
          <x:t xml:space="preserve">Comuna</x:t>
        </x:is>
      </x:c>
      <x:c r="F194" s="9" t="inlineStr">
        <x:is>
          <x:t xml:space="preserve">Sí</x:t>
        </x:is>
      </x:c>
      <x:c r="G194" s="9" t="inlineStr">
        <x:is>
          <x:t xml:space="preserve">HYBRID_MODULAR</x:t>
        </x:is>
      </x:c>
      <x:c r="H194" s="15" t="n">
        <x:v>72</x:v>
      </x:c>
      <x:c r="I194" s="9" t="n">
        <x:v>2</x:v>
      </x:c>
      <x:c r="J194" s="9" t="n">
        <x:v>2</x:v>
      </x:c>
      <x:c r="K194" s="9" t="n">
        <x:v>1</x:v>
      </x:c>
      <x:c r="L194" s="9" t="n">
        <x:v>2</x:v>
      </x:c>
      <x:c r="M194" s="12" t="n">
        <x:v>2.35</x:v>
      </x:c>
      <x:c r="N194" s="9" t="inlineStr">
        <x:is>
          <x:t xml:space="preserve">Estructura híbrida acero-madera panelizada</x:t>
        </x:is>
      </x:c>
      <x:c r="O194" s="10" t="inlineStr">
        <x:is>
          <x:t xml:space="preserve">Acero galvanizado o madera laminada + panel SIP MgO/OSB</x:t>
        </x:is>
      </x:c>
      <x:c r="P194" s="15" t="n">
        <x:v>140</x:v>
      </x:c>
      <x:c r="Q194" s="9" t="inlineStr">
        <x:is>
          <x:t xml:space="preserve">Lana mineral 75-100 mm o EPS integrado</x:t>
        </x:is>
      </x:c>
      <x:c r="R194" s="15" t="n">
        <x:v>100</x:v>
      </x:c>
      <x:c r="S194" s="10" t="inlineStr">
        <x:is>
          <x:t xml:space="preserve">Módulo volumétrico con cubierta panelizada</x:t>
        </x:is>
      </x:c>
      <x:c r="T194" s="15" t="n">
        <x:v>140</x:v>
      </x:c>
      <x:c r="U194" s="10" t="inlineStr">
        <x:is>
          <x:t xml:space="preserve">Lana mineral / EPS / barrera vapor</x:t>
        </x:is>
      </x:c>
      <x:c r="V194" s="9" t="inlineStr">
        <x:is>
          <x:t xml:space="preserve">Bastidor metálico o madera laminada</x:t>
        </x:is>
      </x:c>
      <x:c r="W194" s="10" t="inlineStr">
        <x:is>
          <x:t xml:space="preserve">Lana mineral 80-100 mm + fibrocemento</x:t>
        </x:is>
      </x:c>
      <x:c r="X194" s="9" t="inlineStr">
        <x:is>
          <x:t xml:space="preserve">PVC termopanel</x:t>
        </x:is>
      </x:c>
      <x:c r="Y194" s="9" t="inlineStr">
        <x:is>
          <x:t xml:space="preserve">Plancha metálica</x:t>
        </x:is>
      </x:c>
      <x:c r="Z194" s="9" t="inlineStr">
        <x:is>
          <x:t xml:space="preserve">Yeso cartón pintado</x:t>
        </x:is>
      </x:c>
      <x:c r="AA194" s="9" t="inlineStr">
        <x:is>
          <x:t xml:space="preserve">Pilotes ajustables</x:t>
        </x:is>
      </x:c>
      <x:c r="AB194" s="15" t="n">
        <x:v>7</x:v>
      </x:c>
      <x:c r="AC194" s="15" t="n">
        <x:v>10</x:v>
      </x:c>
      <x:c r="AD194" s="9" t="inlineStr">
        <x:is>
          <x:t xml:space="preserve">Turismo / arriendo</x:t>
        </x:is>
      </x:c>
      <x:c r="AE194" s="9" t="inlineStr">
        <x:is>
          <x:t xml:space="preserve">Sur lluvioso</x:t>
        </x:is>
      </x:c>
      <x:c r="AF194" s="10" t="inlineStr">
        <x:is>
          <x:t xml:space="preserve">Criterios de prefabricación modular y coordinación BIM (referencial)</x:t>
        </x:is>
      </x:c>
      <x:c r="AG194" s="10" t="inlineStr">
        <x:is>
          <x:t xml:space="preserve">https://modul.cl/construccion-de-casas-prefabricadas-modulares/ | https://tecnofasthome.cl/casas-modulares/</x:t>
        </x:is>
      </x:c>
      <x:c r="AH194" s="10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140 mm; ventanas PVC termopanel; revestimiento exterior Madera tratada; interior Melamina blanca; fundación sugerida Radier.</x:t>
        </x:is>
      </x:c>
    </x:row>
    <x:row r="195" ht="32" customHeight="1">
      <x:c r="A195" s="9" t="inlineStr">
        <x:is>
          <x:t xml:space="preserve">MOD-0194</x:t>
        </x:is>
      </x:c>
      <x:c r="B195" s="9" t="inlineStr">
        <x:is>
          <x:t xml:space="preserve">EMP-039</x:t>
        </x:is>
      </x:c>
      <x:c r="C195" s="9" t="inlineStr">
        <x:is>
          <x:t xml:space="preserve">Ovalle 156</x:t>
        </x:is>
      </x:c>
      <x:c r="D195" s="9" t="inlineStr">
        <x:is>
          <x:t xml:space="preserve">Ovalle</x:t>
        </x:is>
      </x:c>
      <x:c r="E195" s="9" t="inlineStr">
        <x:is>
          <x:t xml:space="preserve">Volcán</x:t>
        </x:is>
      </x:c>
      <x:c r="F195" s="9" t="inlineStr">
        <x:is>
          <x:t xml:space="preserve">Sí</x:t>
        </x:is>
      </x:c>
      <x:c r="G195" s="9" t="inlineStr">
        <x:is>
          <x:t xml:space="preserve">SIP</x:t>
        </x:is>
      </x:c>
      <x:c r="H195" s="15" t="n">
        <x:v>156</x:v>
      </x:c>
      <x:c r="I195" s="9" t="n">
        <x:v>4</x:v>
      </x:c>
      <x:c r="J195" s="9" t="n">
        <x:v>3</x:v>
      </x:c>
      <x:c r="K195" s="9" t="n">
        <x:v>2</x:v>
      </x:c>
      <x:c r="L195" s="9" t="n">
        <x:v>4</x:v>
      </x:c>
      <x:c r="M195" s="12" t="n">
        <x:v>2.35</x:v>
      </x:c>
      <x:c r="N195" s="9" t="inlineStr">
        <x:is>
          <x:t xml:space="preserve">Panel SIP estructural con uniones en pino seco</x:t>
        </x:is>
      </x:c>
      <x:c r="O195" s="10" t="inlineStr">
        <x:is>
          <x:t xml:space="preserve">2 placas OSB estructural + núcleo EPS alta densidad</x:t>
        </x:is>
      </x:c>
      <x:c r="P195" s="15" t="n">
        <x:v>90</x:v>
      </x:c>
      <x:c r="Q195" s="9" t="inlineStr">
        <x:is>
          <x:t xml:space="preserve">EPS alta densidad 15 kg/m³</x:t>
        </x:is>
      </x:c>
      <x:c r="R195" s="15" t="n">
        <x:v>92</x:v>
      </x:c>
      <x:c r="S195" s="10" t="inlineStr">
        <x:is>
          <x:t xml:space="preserve">Panel SIP de cubierta + membrana hidrófuga + hojalatería</x:t>
        </x:is>
      </x:c>
      <x:c r="T195" s="15" t="n">
        <x:v>164</x:v>
      </x:c>
      <x:c r="U195" s="10" t="inlineStr">
        <x:is>
          <x:t xml:space="preserve">EPS integrado + sellos PU</x:t>
        </x:is>
      </x:c>
      <x:c r="V195" s="9" t="inlineStr">
        <x:is>
          <x:t xml:space="preserve">Base entramado madera o radier con barrera de humedad</x:t>
        </x:is>
      </x:c>
      <x:c r="W195" s="10" t="inlineStr">
        <x:is>
          <x:t xml:space="preserve">Aislación bajo piso PET o lana mineral 50-100 mm</x:t>
        </x:is>
      </x:c>
      <x:c r="X195" s="9" t="inlineStr">
        <x:is>
          <x:t xml:space="preserve">PVC termopanel</x:t>
        </x:is>
      </x:c>
      <x:c r="Y195" s="9" t="inlineStr">
        <x:is>
          <x:t xml:space="preserve">Madera tratada</x:t>
        </x:is>
      </x:c>
      <x:c r="Z195" s="9" t="inlineStr">
        <x:is>
          <x:t xml:space="preserve">OSB sellado y pintado</x:t>
        </x:is>
      </x:c>
      <x:c r="AA195" s="9" t="inlineStr">
        <x:is>
          <x:t xml:space="preserve">Sobrecimientos y radier</x:t>
        </x:is>
      </x:c>
      <x:c r="AB195" s="15" t="n">
        <x:v>5</x:v>
      </x:c>
      <x:c r="AC195" s="15" t="n">
        <x:v>4</x:v>
      </x:c>
      <x:c r="AD195" s="9" t="inlineStr">
        <x:is>
          <x:t xml:space="preserve">Turismo / arriendo</x:t>
        </x:is>
      </x:c>
      <x:c r="AE195" s="9" t="inlineStr">
        <x:is>
          <x:t xml:space="preserve">Sur lluvioso</x:t>
        </x:is>
      </x:c>
      <x:c r="AF195" s="10" t="inlineStr">
        <x:is>
          <x:t xml:space="preserve">NCh3393:2016 (referencial para paneles SIP)</x:t>
        </x:is>
      </x:c>
      <x:c r="AG195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95" s="10" t="inlineStr">
        <x:is>
          <x:t xml:space="preserve">Estructura: Panel SIP estructural OSB/EPS/OSB; muros 2 placas OSB estructural + núcleo EPS alta densidad de 90 mm con aislación EPS alta densidad 15 kg/m³ (92 mm); cubierta Panel SIP de cubierta + membrana hidrófuga + hojalatería de 164 mm; ventanas PVC termopanel; revestimiento exterior Siding fibrocemento; interior Yeso cartón pintado; fundación sugerida Sobrecimientos y radier.</x:t>
        </x:is>
      </x:c>
    </x:row>
    <x:row r="196" ht="32" customHeight="1">
      <x:c r="A196" s="9" t="inlineStr">
        <x:is>
          <x:t xml:space="preserve">MOD-0195</x:t>
        </x:is>
      </x:c>
      <x:c r="B196" s="9" t="inlineStr">
        <x:is>
          <x:t xml:space="preserve">EMP-039</x:t>
        </x:is>
      </x:c>
      <x:c r="C196" s="9" t="inlineStr">
        <x:is>
          <x:t xml:space="preserve">Calama 210</x:t>
        </x:is>
      </x:c>
      <x:c r="D196" s="9" t="inlineStr">
        <x:is>
          <x:t xml:space="preserve">Calama</x:t>
        </x:is>
      </x:c>
      <x:c r="E196" s="9" t="inlineStr">
        <x:is>
          <x:t xml:space="preserve">Valle</x:t>
        </x:is>
      </x:c>
      <x:c r="F196" s="9" t="inlineStr">
        <x:is>
          <x:t xml:space="preserve">Sí</x:t>
        </x:is>
      </x:c>
      <x:c r="G196" s="9" t="inlineStr">
        <x:is>
          <x:t xml:space="preserve">STEEL_FRAME</x:t>
        </x:is>
      </x:c>
      <x:c r="H196" s="15" t="n">
        <x:v>210</x:v>
      </x:c>
      <x:c r="I196" s="9" t="n">
        <x:v>4</x:v>
      </x:c>
      <x:c r="J196" s="9" t="n">
        <x:v>3</x:v>
      </x:c>
      <x:c r="K196" s="9" t="n">
        <x:v>1</x:v>
      </x:c>
      <x:c r="L196" s="9" t="n">
        <x:v>4</x:v>
      </x:c>
      <x:c r="M196" s="12" t="n">
        <x:v>2.35</x:v>
      </x:c>
      <x:c r="N196" s="9" t="inlineStr">
        <x:is>
          <x:t xml:space="preserve">Panelizado steel frame industrializado</x:t>
        </x:is>
      </x:c>
      <x:c r="O196" s="10" t="inlineStr">
        <x:is>
          <x:t xml:space="preserve">Acero galvanizado + placa OSB/fibrocemento + cámara técnica</x:t>
        </x:is>
      </x:c>
      <x:c r="P196" s="15" t="n">
        <x:v>110</x:v>
      </x:c>
      <x:c r="Q196" s="9" t="inlineStr">
        <x:is>
          <x:t xml:space="preserve">Lana mineral o lana de roca / PET / EPS según zona térmica</x:t>
        </x:is>
      </x:c>
      <x:c r="R196" s="15" t="n">
        <x:v>80</x:v>
      </x:c>
      <x:c r="S196" s="10" t="inlineStr">
        <x:is>
          <x:t xml:space="preserve">Cerchas o paneles steel frame + cubierta metálica</x:t>
        </x:is>
      </x:c>
      <x:c r="T196" s="15" t="n">
        <x:v>120</x:v>
      </x:c>
      <x:c r="U196" s="10" t="inlineStr">
        <x:is>
          <x:t xml:space="preserve">Lana mineral / lana de roca + barrera de vapor</x:t>
        </x:is>
      </x:c>
      <x:c r="V196" s="9" t="inlineStr">
        <x:is>
          <x:t xml:space="preserve">Envigado metálico o plataforma estructural</x:t>
        </x:is>
      </x:c>
      <x:c r="W196" s="10" t="inlineStr">
        <x:is>
          <x:t xml:space="preserve">Lana mineral 50-100 mm + placas estructurales</x:t>
        </x:is>
      </x:c>
      <x:c r="X196" s="9" t="inlineStr">
        <x:is>
          <x:t xml:space="preserve">PVC termopanel</x:t>
        </x:is>
      </x:c>
      <x:c r="Y196" s="9" t="inlineStr">
        <x:is>
          <x:t xml:space="preserve">Plancha metálica</x:t>
        </x:is>
      </x:c>
      <x:c r="Z196" s="9" t="inlineStr">
        <x:is>
          <x:t xml:space="preserve">MDF pintado</x:t>
        </x:is>
      </x:c>
      <x:c r="AA196" s="9" t="inlineStr">
        <x:is>
          <x:t xml:space="preserve">Radier reforzado</x:t>
        </x:is>
      </x:c>
      <x:c r="AB196" s="15" t="n">
        <x:v>8</x:v>
      </x:c>
      <x:c r="AC196" s="15" t="n">
        <x:v>10</x:v>
      </x:c>
      <x:c r="AD196" s="9" t="inlineStr">
        <x:is>
          <x:t xml:space="preserve">Parcela</x:t>
        </x:is>
      </x:c>
      <x:c r="AE196" s="9" t="inlineStr">
        <x:is>
          <x:t xml:space="preserve">Sur lluvioso</x:t>
        </x:is>
      </x:c>
      <x:c r="AF196" s="10" t="inlineStr">
        <x:is>
          <x:t xml:space="preserve">Criterio térmico referencial OGUC / reglamentación térmica vigente</x:t>
        </x:is>
      </x:c>
      <x:c r="AG196" s="10" t="inlineStr">
        <x:is>
          <x:t xml:space="preserve">https://www.steelframe.cl/ | https://vhaceros.cl/blog/steel-framing-principios-estructurales-y-ventajas-en-la-construccion-chilena/</x:t>
        </x:is>
      </x:c>
      <x:c r="AH196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(80 mm); cubierta Cerchas o paneles steel frame + cubierta metálica de 120 mm; ventanas PVC termopanel; revestimiento exterior Siding fibrocemento; interior MDF pintado; fundación sugerida Vigas de fundación y radier.</x:t>
        </x:is>
      </x:c>
    </x:row>
    <x:row r="197" ht="32" customHeight="1">
      <x:c r="A197" s="9" t="inlineStr">
        <x:is>
          <x:t xml:space="preserve">MOD-0196</x:t>
        </x:is>
      </x:c>
      <x:c r="B197" s="9" t="inlineStr">
        <x:is>
          <x:t xml:space="preserve">EMP-040</x:t>
        </x:is>
      </x:c>
      <x:c r="C197" s="9" t="inlineStr">
        <x:is>
          <x:t xml:space="preserve">Iquique 36</x:t>
        </x:is>
      </x:c>
      <x:c r="D197" s="9" t="inlineStr">
        <x:is>
          <x:t xml:space="preserve">Iquique</x:t>
        </x:is>
      </x:c>
      <x:c r="E197" s="9" t="inlineStr">
        <x:is>
          <x:t xml:space="preserve">Lago</x:t>
        </x:is>
      </x:c>
      <x:c r="F197" s="9" t="inlineStr">
        <x:is>
          <x:t xml:space="preserve">Sí</x:t>
        </x:is>
      </x:c>
      <x:c r="G197" s="9" t="inlineStr">
        <x:is>
          <x:t xml:space="preserve">STEEL_FRAME</x:t>
        </x:is>
      </x:c>
      <x:c r="H197" s="15" t="n">
        <x:v>36</x:v>
      </x:c>
      <x:c r="I197" s="9" t="n">
        <x:v>1</x:v>
      </x:c>
      <x:c r="J197" s="9" t="n">
        <x:v>1</x:v>
      </x:c>
      <x:c r="K197" s="9" t="n">
        <x:v>1</x:v>
      </x:c>
      <x:c r="L197" s="9" t="n">
        <x:v>1</x:v>
      </x:c>
      <x:c r="M197" s="12" t="n">
        <x:v>2.45</x:v>
      </x:c>
      <x:c r="N197" s="9" t="inlineStr">
        <x:is>
          <x:t xml:space="preserve">Panelizado steel frame industrializado</x:t>
        </x:is>
      </x:c>
      <x:c r="O197" s="10" t="inlineStr">
        <x:is>
          <x:t xml:space="preserve">Acero galvanizado + placa OSB/fibrocemento + cámara técnica</x:t>
        </x:is>
      </x:c>
      <x:c r="P197" s="15" t="n">
        <x:v>110</x:v>
      </x:c>
      <x:c r="Q197" s="9" t="inlineStr">
        <x:is>
          <x:t xml:space="preserve">Lana mineral o lana de roca / PET / EPS según zona térmica</x:t>
        </x:is>
      </x:c>
      <x:c r="R197" s="15" t="n">
        <x:v>100</x:v>
      </x:c>
      <x:c r="S197" s="10" t="inlineStr">
        <x:is>
          <x:t xml:space="preserve">Cerchas o paneles steel frame + cubierta metálica</x:t>
        </x:is>
      </x:c>
      <x:c r="T197" s="15" t="n">
        <x:v>150</x:v>
      </x:c>
      <x:c r="U197" s="10" t="inlineStr">
        <x:is>
          <x:t xml:space="preserve">Lana mineral / lana de roca + barrera de vapor</x:t>
        </x:is>
      </x:c>
      <x:c r="V197" s="9" t="inlineStr">
        <x:is>
          <x:t xml:space="preserve">Envigado metálico o plataforma estructural</x:t>
        </x:is>
      </x:c>
      <x:c r="W197" s="10" t="inlineStr">
        <x:is>
          <x:t xml:space="preserve">Lana mineral 50-100 mm + placas estructurales</x:t>
        </x:is>
      </x:c>
      <x:c r="X197" s="9" t="inlineStr">
        <x:is>
          <x:t xml:space="preserve">Aluminio RPT termopanel</x:t>
        </x:is>
      </x:c>
      <x:c r="Y197" s="9" t="inlineStr">
        <x:is>
          <x:t xml:space="preserve">Plancha metálica</x:t>
        </x:is>
      </x:c>
      <x:c r="Z197" s="9" t="inlineStr">
        <x:is>
          <x:t xml:space="preserve">MDF pintado</x:t>
        </x:is>
      </x:c>
      <x:c r="AA197" s="9" t="inlineStr">
        <x:is>
          <x:t xml:space="preserve">Vigas de fundación y radier</x:t>
        </x:is>
      </x:c>
      <x:c r="AB197" s="15" t="n">
        <x:v>6</x:v>
      </x:c>
      <x:c r="AC197" s="15" t="n">
        <x:v>8</x:v>
      </x:c>
      <x:c r="AD197" s="9" t="inlineStr">
        <x:is>
          <x:t xml:space="preserve">Parcela</x:t>
        </x:is>
      </x:c>
      <x:c r="AE197" s="9" t="inlineStr">
        <x:is>
          <x:t xml:space="preserve">Sur lluvioso</x:t>
        </x:is>
      </x:c>
      <x:c r="AF197" s="10" t="inlineStr">
        <x:is>
          <x:t xml:space="preserve">Criterio térmico referencial OGUC / reglamentación térmica vigente</x:t>
        </x:is>
      </x:c>
      <x:c r="AG197" s="10" t="inlineStr">
        <x:is>
          <x:t xml:space="preserve">https://www.steelframe.cl/ | https://vhaceros.cl/blog/steel-framing-principios-estructurales-y-ventajas-en-la-construccion-chilena/</x:t>
        </x:is>
      </x:c>
      <x:c r="AH197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(100 mm); cubierta Cerchas o paneles steel frame + cubierta metálica de 150 mm; ventanas PVC termopanel; revestimiento exterior Plancha metálica; interior MDF pintado; fundación sugerida Radier reforzado.</x:t>
        </x:is>
      </x:c>
    </x:row>
    <x:row r="198" ht="32" customHeight="1">
      <x:c r="A198" s="9" t="inlineStr">
        <x:is>
          <x:t xml:space="preserve">MOD-0197</x:t>
        </x:is>
      </x:c>
      <x:c r="B198" s="9" t="inlineStr">
        <x:is>
          <x:t xml:space="preserve">EMP-040</x:t>
        </x:is>
      </x:c>
      <x:c r="C198" s="9" t="inlineStr">
        <x:is>
          <x:t xml:space="preserve">Arica 112</x:t>
        </x:is>
      </x:c>
      <x:c r="D198" s="9" t="inlineStr">
        <x:is>
          <x:t xml:space="preserve">Arica</x:t>
        </x:is>
      </x:c>
      <x:c r="E198" s="9" t="inlineStr">
        <x:is>
          <x:t xml:space="preserve">Archipiélago</x:t>
        </x:is>
      </x:c>
      <x:c r="F198" s="9" t="inlineStr">
        <x:is>
          <x:t xml:space="preserve">Sí</x:t>
        </x:is>
      </x:c>
      <x:c r="G198" s="9" t="inlineStr">
        <x:is>
          <x:t xml:space="preserve">STEEL_FRAME</x:t>
        </x:is>
      </x:c>
      <x:c r="H198" s="15" t="n">
        <x:v>112</x:v>
      </x:c>
      <x:c r="I198" s="9" t="n">
        <x:v>3</x:v>
      </x:c>
      <x:c r="J198" s="9" t="n">
        <x:v>2</x:v>
      </x:c>
      <x:c r="K198" s="9" t="n">
        <x:v>1</x:v>
      </x:c>
      <x:c r="L198" s="9" t="n">
        <x:v>3</x:v>
      </x:c>
      <x:c r="M198" s="12" t="n">
        <x:v>2.5</x:v>
      </x:c>
      <x:c r="N198" s="9" t="inlineStr">
        <x:is>
          <x:t xml:space="preserve">Panelizado steel frame industrializado</x:t>
        </x:is>
      </x:c>
      <x:c r="O198" s="10" t="inlineStr">
        <x:is>
          <x:t xml:space="preserve">Acero galvanizado + placa OSB/fibrocemento + cámara técnica</x:t>
        </x:is>
      </x:c>
      <x:c r="P198" s="15" t="n">
        <x:v>110</x:v>
      </x:c>
      <x:c r="Q198" s="9" t="inlineStr">
        <x:is>
          <x:t xml:space="preserve">Lana mineral o lana de roca / PET / EPS según zona térmica</x:t>
        </x:is>
      </x:c>
      <x:c r="R198" s="15" t="n">
        <x:v>90</x:v>
      </x:c>
      <x:c r="S198" s="10" t="inlineStr">
        <x:is>
          <x:t xml:space="preserve">Cerchas o paneles steel frame + cubierta metálica</x:t>
        </x:is>
      </x:c>
      <x:c r="T198" s="15" t="n">
        <x:v>150</x:v>
      </x:c>
      <x:c r="U198" s="10" t="inlineStr">
        <x:is>
          <x:t xml:space="preserve">Lana mineral / lana de roca + barrera de vapor</x:t>
        </x:is>
      </x:c>
      <x:c r="V198" s="9" t="inlineStr">
        <x:is>
          <x:t xml:space="preserve">Envigado metálico o plataforma estructural</x:t>
        </x:is>
      </x:c>
      <x:c r="W198" s="10" t="inlineStr">
        <x:is>
          <x:t xml:space="preserve">Lana mineral 50-100 mm + placas estructurales</x:t>
        </x:is>
      </x:c>
      <x:c r="X198" s="9" t="inlineStr">
        <x:is>
          <x:t xml:space="preserve">Aluminio RPT termopanel</x:t>
        </x:is>
      </x:c>
      <x:c r="Y198" s="9" t="inlineStr">
        <x:is>
          <x:t xml:space="preserve">Siding fibrocemento</x:t>
        </x:is>
      </x:c>
      <x:c r="Z198" s="9" t="inlineStr">
        <x:is>
          <x:t xml:space="preserve">MDF pintado</x:t>
        </x:is>
      </x:c>
      <x:c r="AA198" s="9" t="inlineStr">
        <x:is>
          <x:t xml:space="preserve">Vigas de fundación y radier</x:t>
        </x:is>
      </x:c>
      <x:c r="AB198" s="15" t="n">
        <x:v>7</x:v>
      </x:c>
      <x:c r="AC198" s="15" t="n">
        <x:v>8</x:v>
      </x:c>
      <x:c r="AD198" s="9" t="inlineStr">
        <x:is>
          <x:t xml:space="preserve">Parcela</x:t>
        </x:is>
      </x:c>
      <x:c r="AE198" s="9" t="inlineStr">
        <x:is>
          <x:t xml:space="preserve">Sur lluvioso</x:t>
        </x:is>
      </x:c>
      <x:c r="AF198" s="10" t="inlineStr">
        <x:is>
          <x:t xml:space="preserve">Criterio térmico referencial OGUC / reglamentación térmica vigente</x:t>
        </x:is>
      </x:c>
      <x:c r="AG198" s="10" t="inlineStr">
        <x:is>
          <x:t xml:space="preserve">https://www.steelframe.cl/ | https://vhaceros.cl/blog/steel-framing-principios-estructurales-y-ventajas-en-la-construccion-chilena/</x:t>
        </x:is>
      </x:c>
      <x:c r="AH198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(90 mm); cubierta Cerchas o paneles steel frame + cubierta metálica de 150 mm; ventanas Aluminio RPT termopanel; revestimiento exterior Siding fibrocemento; interior Yeso cartón; fundación sugerida Vigas de fundación y radier.</x:t>
        </x:is>
      </x:c>
    </x:row>
    <x:row r="199" ht="32" customHeight="1">
      <x:c r="A199" s="9" t="inlineStr">
        <x:is>
          <x:t xml:space="preserve">MOD-0198</x:t>
        </x:is>
      </x:c>
      <x:c r="B199" s="9" t="inlineStr">
        <x:is>
          <x:t xml:space="preserve">EMP-040</x:t>
        </x:is>
      </x:c>
      <x:c r="C199" s="9" t="inlineStr">
        <x:is>
          <x:t xml:space="preserve">Copiapó 96</x:t>
        </x:is>
      </x:c>
      <x:c r="D199" s="9" t="inlineStr">
        <x:is>
          <x:t xml:space="preserve">Copiapó</x:t>
        </x:is>
      </x:c>
      <x:c r="E199" s="9" t="inlineStr">
        <x:is>
          <x:t xml:space="preserve">Volcán</x:t>
        </x:is>
      </x:c>
      <x:c r="F199" s="9" t="inlineStr">
        <x:is>
          <x:t xml:space="preserve">Sí</x:t>
        </x:is>
      </x:c>
      <x:c r="G199" s="9" t="inlineStr">
        <x:is>
          <x:t xml:space="preserve">SIP</x:t>
        </x:is>
      </x:c>
      <x:c r="H199" s="15" t="n">
        <x:v>96</x:v>
      </x:c>
      <x:c r="I199" s="9" t="n">
        <x:v>3</x:v>
      </x:c>
      <x:c r="J199" s="9" t="n">
        <x:v>2</x:v>
      </x:c>
      <x:c r="K199" s="9" t="n">
        <x:v>1</x:v>
      </x:c>
      <x:c r="L199" s="9" t="n">
        <x:v>3</x:v>
      </x:c>
      <x:c r="M199" s="12" t="n">
        <x:v>2.4</x:v>
      </x:c>
      <x:c r="N199" s="9" t="inlineStr">
        <x:is>
          <x:t xml:space="preserve">Panel SIP estructural con uniones en pino seco</x:t>
        </x:is>
      </x:c>
      <x:c r="O199" s="10" t="inlineStr">
        <x:is>
          <x:t xml:space="preserve">2 placas OSB estructural + núcleo EPS alta densidad</x:t>
        </x:is>
      </x:c>
      <x:c r="P199" s="15" t="n">
        <x:v>130</x:v>
      </x:c>
      <x:c r="Q199" s="9" t="inlineStr">
        <x:is>
          <x:t xml:space="preserve">EPS alta densidad 15 kg/m³</x:t>
        </x:is>
      </x:c>
      <x:c r="R199" s="15" t="n">
        <x:v>105</x:v>
      </x:c>
      <x:c r="S199" s="10" t="inlineStr">
        <x:is>
          <x:t xml:space="preserve">Panel SIP de cubierta + membrana hidrófuga + hojalatería</x:t>
        </x:is>
      </x:c>
      <x:c r="T199" s="15" t="n">
        <x:v>130</x:v>
      </x:c>
      <x:c r="U199" s="10" t="inlineStr">
        <x:is>
          <x:t xml:space="preserve">EPS integrado + sellos PU</x:t>
        </x:is>
      </x:c>
      <x:c r="V199" s="9" t="inlineStr">
        <x:is>
          <x:t xml:space="preserve">Base entramado madera o radier con barrera de humedad</x:t>
        </x:is>
      </x:c>
      <x:c r="W199" s="10" t="inlineStr">
        <x:is>
          <x:t xml:space="preserve">Aislación bajo piso PET o lana mineral 50-100 mm</x:t>
        </x:is>
      </x:c>
      <x:c r="X199" s="9" t="inlineStr">
        <x:is>
          <x:t xml:space="preserve">PVC DVH</x:t>
        </x:is>
      </x:c>
      <x:c r="Y199" s="9" t="inlineStr">
        <x:is>
          <x:t xml:space="preserve">Siding fibrocemento</x:t>
        </x:is>
      </x:c>
      <x:c r="Z199" s="9" t="inlineStr">
        <x:is>
          <x:t xml:space="preserve">Yeso cartón pintado</x:t>
        </x:is>
      </x:c>
      <x:c r="AA199" s="9" t="inlineStr">
        <x:is>
          <x:t xml:space="preserve">Radier afinado</x:t>
        </x:is>
      </x:c>
      <x:c r="AB199" s="15" t="n">
        <x:v>5</x:v>
      </x:c>
      <x:c r="AC199" s="15" t="n">
        <x:v>11</x:v>
      </x:c>
      <x:c r="AD199" s="9" t="inlineStr">
        <x:is>
          <x:t xml:space="preserve">Cabaña permanente</x:t>
        </x:is>
      </x:c>
      <x:c r="AE199" s="9" t="inlineStr">
        <x:is>
          <x:t xml:space="preserve">Sur lluvioso</x:t>
        </x:is>
      </x:c>
      <x:c r="AF199" s="10" t="inlineStr">
        <x:is>
          <x:t xml:space="preserve">NCh3393:2016 (referencial para paneles SIP)</x:t>
        </x:is>
      </x:c>
      <x:c r="AG19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99" s="10" t="inlineStr">
        <x:is>
          <x:t xml:space="preserve">Estructura: Panel SIP estructural OSB/EPS/OSB; muros 2 placas OSB estructural + núcleo EPS alta densidad de 130 mm con aislación EPS alta densidad 15 kg/m³ (105 mm); cubierta Panel SIP de cubierta + membrana hidrófuga + hojalatería de 130 mm; ventanas PVC termopanel; revestimiento exterior Siding fibrocemento; interior MDF en zonas secas; fundación sugerida Pilotes metálicos.</x:t>
        </x:is>
      </x:c>
    </x:row>
    <x:row r="200" ht="32" customHeight="1">
      <x:c r="A200" s="9" t="inlineStr">
        <x:is>
          <x:t xml:space="preserve">MOD-0199</x:t>
        </x:is>
      </x:c>
      <x:c r="B200" s="9" t="inlineStr">
        <x:is>
          <x:t xml:space="preserve">EMP-040</x:t>
        </x:is>
      </x:c>
      <x:c r="C200" s="9" t="inlineStr">
        <x:is>
          <x:t xml:space="preserve">Vallenar 168</x:t>
        </x:is>
      </x:c>
      <x:c r="D200" s="9" t="inlineStr">
        <x:is>
          <x:t xml:space="preserve">Vallenar</x:t>
        </x:is>
      </x:c>
      <x:c r="E200" s="9" t="inlineStr">
        <x:is>
          <x:t xml:space="preserve">Comuna</x:t>
        </x:is>
      </x:c>
      <x:c r="F200" s="9" t="inlineStr">
        <x:is>
          <x:t xml:space="preserve">Sí</x:t>
        </x:is>
      </x:c>
      <x:c r="G200" s="9" t="inlineStr">
        <x:is>
          <x:t xml:space="preserve">MODULAR_TIMBER</x:t>
        </x:is>
      </x:c>
      <x:c r="H200" s="15" t="n">
        <x:v>168</x:v>
      </x:c>
      <x:c r="I200" s="9" t="n">
        <x:v>4</x:v>
      </x:c>
      <x:c r="J200" s="9" t="n">
        <x:v>3</x:v>
      </x:c>
      <x:c r="K200" s="9" t="n">
        <x:v>1</x:v>
      </x:c>
      <x:c r="L200" s="9" t="n">
        <x:v>4</x:v>
      </x:c>
      <x:c r="M200" s="12" t="n">
        <x:v>2.4</x:v>
      </x:c>
      <x:c r="N200" s="9" t="inlineStr">
        <x:is>
          <x:t xml:space="preserve">Madera laminada y entramado ligero</x:t>
        </x:is>
      </x:c>
      <x:c r="O200" s="10" t="inlineStr">
        <x:is>
          <x:t xml:space="preserve">Madera estructural + OSB / terciado + barrera hidrófuga</x:t>
        </x:is>
      </x:c>
      <x:c r="P200" s="15" t="n">
        <x:v>140</x:v>
      </x:c>
      <x:c r="Q200" s="9" t="inlineStr">
        <x:is>
          <x:t xml:space="preserve">Lana mineral / lana de vidrio / PET reciclado</x:t>
        </x:is>
      </x:c>
      <x:c r="R200" s="15" t="n">
        <x:v>80</x:v>
      </x:c>
      <x:c r="S200" s="10" t="inlineStr">
        <x:is>
          <x:t xml:space="preserve">Cercha de madera + cubierta metálica o tejuela asfáltica</x:t>
        </x:is>
      </x:c>
      <x:c r="T200" s="15" t="n">
        <x:v>120</x:v>
      </x:c>
      <x:c r="U200" s="10" t="inlineStr">
        <x:is>
          <x:t xml:space="preserve">Lana mineral 80-140 mm + membrana</x:t>
        </x:is>
      </x:c>
      <x:c r="V200" s="9" t="inlineStr">
        <x:is>
          <x:t xml:space="preserve">Plataforma de madera estructural o radier</x:t>
        </x:is>
      </x:c>
      <x:c r="W200" s="10" t="inlineStr">
        <x:is>
          <x:t xml:space="preserve">Lana mineral 50-100 mm / barrera humedad</x:t>
        </x:is>
      </x:c>
      <x:c r="X200" s="9" t="inlineStr">
        <x:is>
          <x:t xml:space="preserve">Aluminio termopanel</x:t>
        </x:is>
      </x:c>
      <x:c r="Y200" s="9" t="inlineStr">
        <x:is>
          <x:t xml:space="preserve">Smart Panel</x:t>
        </x:is>
      </x:c>
      <x:c r="Z200" s="9" t="inlineStr">
        <x:is>
          <x:t xml:space="preserve">MDF ranurado</x:t>
        </x:is>
      </x:c>
      <x:c r="AA200" s="9" t="inlineStr">
        <x:is>
          <x:t xml:space="preserve">Radier</x:t>
        </x:is>
      </x:c>
      <x:c r="AB200" s="15" t="n">
        <x:v>8</x:v>
      </x:c>
      <x:c r="AC200" s="15" t="n">
        <x:v>11</x:v>
      </x:c>
      <x:c r="AD200" s="9" t="inlineStr">
        <x:is>
          <x:t xml:space="preserve">Oficina + vivienda</x:t>
        </x:is>
      </x:c>
      <x:c r="AE200" s="9" t="inlineStr">
        <x:is>
          <x:t xml:space="preserve">Sur lluvioso</x:t>
        </x:is>
      </x:c>
      <x:c r="AF200" s="10" t="inlineStr">
        <x:is>
          <x:t xml:space="preserve">Especificaciones técnicas de vivienda industrializada en madera (referencial)</x:t>
        </x:is>
      </x:c>
      <x:c r="AG200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00" s="10" t="inlineStr">
        <x:is>
          <x:t xml:space="preserve">Estructura: Madera laminada y entramado ligero; muros Madera estructural + OSB / terciado + barrera hidrófuga de 140 mm con aislación Lana mineral / lana de vidrio / PET reciclado (80 mm); cubierta Cercha de madera + cubierta metálica o tejuela asfáltica de 120 mm; ventanas Aluminio termopanel; revestimiento exterior Madera tratada; interior Yeso cartón; fundación sugerida Fundación corrida.</x:t>
        </x:is>
      </x:c>
    </x:row>
    <x:row r="201" ht="32" customHeight="1">
      <x:c r="A201" s="9" t="inlineStr">
        <x:is>
          <x:t xml:space="preserve">MOD-0200</x:t>
        </x:is>
      </x:c>
      <x:c r="B201" s="9" t="inlineStr">
        <x:is>
          <x:t xml:space="preserve">EMP-040</x:t>
        </x:is>
      </x:c>
      <x:c r="C201" s="9" t="inlineStr">
        <x:is>
          <x:t xml:space="preserve">Rancagua 176</x:t>
        </x:is>
      </x:c>
      <x:c r="D201" s="9" t="inlineStr">
        <x:is>
          <x:t xml:space="preserve">Rancagua</x:t>
        </x:is>
      </x:c>
      <x:c r="E201" s="9" t="inlineStr">
        <x:is>
          <x:t xml:space="preserve">Volcán</x:t>
        </x:is>
      </x:c>
      <x:c r="F201" s="9" t="inlineStr">
        <x:is>
          <x:t xml:space="preserve">Sí</x:t>
        </x:is>
      </x:c>
      <x:c r="G201" s="9" t="inlineStr">
        <x:is>
          <x:t xml:space="preserve">HYBRID_MODULAR</x:t>
        </x:is>
      </x:c>
      <x:c r="H201" s="15" t="n">
        <x:v>176</x:v>
      </x:c>
      <x:c r="I201" s="9" t="n">
        <x:v>4</x:v>
      </x:c>
      <x:c r="J201" s="9" t="n">
        <x:v>3</x:v>
      </x:c>
      <x:c r="K201" s="9" t="n">
        <x:v>2</x:v>
      </x:c>
      <x:c r="L201" s="9" t="n">
        <x:v>4</x:v>
      </x:c>
      <x:c r="M201" s="12" t="n">
        <x:v>2.4</x:v>
      </x:c>
      <x:c r="N201" s="9" t="inlineStr">
        <x:is>
          <x:t xml:space="preserve">Estructura híbrida acero-madera panelizada</x:t>
        </x:is>
      </x:c>
      <x:c r="O201" s="10" t="inlineStr">
        <x:is>
          <x:t xml:space="preserve">Acero galvanizado o madera laminada + panel SIP MgO/OSB</x:t>
        </x:is>
      </x:c>
      <x:c r="P201" s="15" t="n">
        <x:v>140</x:v>
      </x:c>
      <x:c r="Q201" s="9" t="inlineStr">
        <x:is>
          <x:t xml:space="preserve">Lana mineral 75-100 mm o EPS integrado</x:t>
        </x:is>
      </x:c>
      <x:c r="R201" s="15" t="n">
        <x:v>100</x:v>
      </x:c>
      <x:c r="S201" s="10" t="inlineStr">
        <x:is>
          <x:t xml:space="preserve">Módulo volumétrico con cubierta panelizada</x:t>
        </x:is>
      </x:c>
      <x:c r="T201" s="15" t="n">
        <x:v>140</x:v>
      </x:c>
      <x:c r="U201" s="10" t="inlineStr">
        <x:is>
          <x:t xml:space="preserve">Lana mineral / EPS / barrera vapor</x:t>
        </x:is>
      </x:c>
      <x:c r="V201" s="9" t="inlineStr">
        <x:is>
          <x:t xml:space="preserve">Bastidor metálico o madera laminada</x:t>
        </x:is>
      </x:c>
      <x:c r="W201" s="10" t="inlineStr">
        <x:is>
          <x:t xml:space="preserve">Lana mineral 80-100 mm + fibrocemento</x:t>
        </x:is>
      </x:c>
      <x:c r="X201" s="9" t="inlineStr">
        <x:is>
          <x:t xml:space="preserve">Aluminio termopanel</x:t>
        </x:is>
      </x:c>
      <x:c r="Y201" s="9" t="inlineStr">
        <x:is>
          <x:t xml:space="preserve">Fibrocemento tipo siding</x:t>
        </x:is>
      </x:c>
      <x:c r="Z201" s="9" t="inlineStr">
        <x:is>
          <x:t xml:space="preserve">Yeso cartón pintado</x:t>
        </x:is>
      </x:c>
      <x:c r="AA201" s="9" t="inlineStr">
        <x:is>
          <x:t xml:space="preserve">Radier</x:t>
        </x:is>
      </x:c>
      <x:c r="AB201" s="15" t="n">
        <x:v>10</x:v>
      </x:c>
      <x:c r="AC201" s="15" t="n">
        <x:v>5</x:v>
      </x:c>
      <x:c r="AD201" s="9" t="inlineStr">
        <x:is>
          <x:t xml:space="preserve">Segunda vivienda</x:t>
        </x:is>
      </x:c>
      <x:c r="AE201" s="9" t="inlineStr">
        <x:is>
          <x:t xml:space="preserve">Sur lluvioso</x:t>
        </x:is>
      </x:c>
      <x:c r="AF201" s="10" t="inlineStr">
        <x:is>
          <x:t xml:space="preserve">Criterios de prefabricación modular y coordinación BIM (referencial)</x:t>
        </x:is>
      </x:c>
      <x:c r="AG201" s="10" t="inlineStr">
        <x:is>
          <x:t xml:space="preserve">https://modul.cl/construccion-de-casas-prefabricadas-modulares/ | https://tecnofasthome.cl/casas-modulares/</x:t>
        </x:is>
      </x:c>
      <x:c r="AH201" s="10" t="inlineStr">
        <x:is>
          <x:t xml:space="preserve">Estructura: Módulos de acero + paneles SIP; muros Acero galvanizado o madera laminada + panel SIP MgO/OSB de 140 mm con aislación Lana mineral 75-100 mm o EPS integrado (100 mm); cubierta Módulo volumétrico con cubierta panelizada de 140 mm; ventanas PVC termopanel; revestimiento exterior Madera tratada; interior Yeso cartón pintado; fundación sugerida Pilotes ajustables.</x:t>
        </x:is>
      </x:c>
    </x:row>
    <x:row r="202" ht="32" customHeight="1">
      <x:c r="A202" s="9" t="inlineStr">
        <x:is>
          <x:t xml:space="preserve">MOD-0201</x:t>
        </x:is>
      </x:c>
      <x:c r="B202" s="9" t="inlineStr">
        <x:is>
          <x:t xml:space="preserve">EMP-041</x:t>
        </x:is>
      </x:c>
      <x:c r="C202" s="9" t="inlineStr">
        <x:is>
          <x:t xml:space="preserve">Machalí 36</x:t>
        </x:is>
      </x:c>
      <x:c r="D202" s="9" t="inlineStr">
        <x:is>
          <x:t xml:space="preserve">Machalí</x:t>
        </x:is>
      </x:c>
      <x:c r="E202" s="9" t="inlineStr">
        <x:is>
          <x:t xml:space="preserve">Río</x:t>
        </x:is>
      </x:c>
      <x:c r="F202" s="9" t="inlineStr">
        <x:is>
          <x:t xml:space="preserve">Sí</x:t>
        </x:is>
      </x:c>
      <x:c r="G202" s="9" t="inlineStr">
        <x:is>
          <x:t xml:space="preserve">SIP</x:t>
        </x:is>
      </x:c>
      <x:c r="H202" s="15" t="n">
        <x:v>36</x:v>
      </x:c>
      <x:c r="I202" s="9" t="n">
        <x:v>1</x:v>
      </x:c>
      <x:c r="J202" s="9" t="n">
        <x:v>1</x:v>
      </x:c>
      <x:c r="K202" s="9" t="n">
        <x:v>1</x:v>
      </x:c>
      <x:c r="L202" s="9" t="n">
        <x:v>1</x:v>
      </x:c>
      <x:c r="M202" s="12" t="n">
        <x:v>2.45</x:v>
      </x:c>
      <x:c r="N202" s="9" t="inlineStr">
        <x:is>
          <x:t xml:space="preserve">Panel SIP estructural OSB/EPS/OSB</x:t>
        </x:is>
      </x:c>
      <x:c r="O202" s="10" t="inlineStr">
        <x:is>
          <x:t xml:space="preserve">2 placas OSB estructural + núcleo EPS alta densidad</x:t>
        </x:is>
      </x:c>
      <x:c r="P202" s="15" t="n">
        <x:v>114</x:v>
      </x:c>
      <x:c r="Q202" s="9" t="inlineStr">
        <x:is>
          <x:t xml:space="preserve">EPS alta densidad 15 kg/m³</x:t>
        </x:is>
      </x:c>
      <x:c r="R202" s="15" t="n">
        <x:v>92</x:v>
      </x:c>
      <x:c r="S202" s="10" t="inlineStr">
        <x:is>
          <x:t xml:space="preserve">Panel SIP de cubierta + membrana hidrófuga + hojalatería</x:t>
        </x:is>
      </x:c>
      <x:c r="T202" s="15" t="n">
        <x:v>114</x:v>
      </x:c>
      <x:c r="U202" s="10" t="inlineStr">
        <x:is>
          <x:t xml:space="preserve">EPS integrado + sellos PU</x:t>
        </x:is>
      </x:c>
      <x:c r="V202" s="9" t="inlineStr">
        <x:is>
          <x:t xml:space="preserve">Base entramado madera o radier con barrera de humedad</x:t>
        </x:is>
      </x:c>
      <x:c r="W202" s="10" t="inlineStr">
        <x:is>
          <x:t xml:space="preserve">Aislación bajo piso PET o lana mineral 50-100 mm</x:t>
        </x:is>
      </x:c>
      <x:c r="X202" s="9" t="inlineStr">
        <x:is>
          <x:t xml:space="preserve">PVC DVH</x:t>
        </x:is>
      </x:c>
      <x:c r="Y202" s="9" t="inlineStr">
        <x:is>
          <x:t xml:space="preserve">Madera tratada</x:t>
        </x:is>
      </x:c>
      <x:c r="Z202" s="9" t="inlineStr">
        <x:is>
          <x:t xml:space="preserve">MDF en zonas secas</x:t>
        </x:is>
      </x:c>
      <x:c r="AA202" s="9" t="inlineStr">
        <x:is>
          <x:t xml:space="preserve">Pilotes metálicos</x:t>
        </x:is>
      </x:c>
      <x:c r="AB202" s="15" t="n">
        <x:v>3</x:v>
      </x:c>
      <x:c r="AC202" s="15" t="n">
        <x:v>7</x:v>
      </x:c>
      <x:c r="AD202" s="9" t="inlineStr">
        <x:is>
          <x:t xml:space="preserve">Loteo habitacional</x:t>
        </x:is>
      </x:c>
      <x:c r="AE202" s="9" t="inlineStr">
        <x:is>
          <x:t xml:space="preserve">Sur lluvioso</x:t>
        </x:is>
      </x:c>
      <x:c r="AF202" s="10" t="inlineStr">
        <x:is>
          <x:t xml:space="preserve">NCh3393:2016 (referencial para paneles SIP)</x:t>
        </x:is>
      </x:c>
      <x:c r="AG20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2" s="10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114 mm; ventanas Aluminio con termopanel; revestimiento exterior Plancha metálica prepintada; interior Yeso cartón RH en zonas húmedas; fundación sugerida Radier afinado.</x:t>
        </x:is>
      </x:c>
    </x:row>
    <x:row r="203" ht="32" customHeight="1">
      <x:c r="A203" s="9" t="inlineStr">
        <x:is>
          <x:t xml:space="preserve">MOD-0202</x:t>
        </x:is>
      </x:c>
      <x:c r="B203" s="9" t="inlineStr">
        <x:is>
          <x:t xml:space="preserve">EMP-041</x:t>
        </x:is>
      </x:c>
      <x:c r="C203" s="9" t="inlineStr">
        <x:is>
          <x:t xml:space="preserve">Melipilla 112</x:t>
        </x:is>
      </x:c>
      <x:c r="D203" s="9" t="inlineStr">
        <x:is>
          <x:t xml:space="preserve">Melipilla</x:t>
        </x:is>
      </x:c>
      <x:c r="E203" s="9" t="inlineStr">
        <x:is>
          <x:t xml:space="preserve">Valle</x:t>
        </x:is>
      </x:c>
      <x:c r="F203" s="9" t="inlineStr">
        <x:is>
          <x:t xml:space="preserve">Sí</x:t>
        </x:is>
      </x:c>
      <x:c r="G203" s="9" t="inlineStr">
        <x:is>
          <x:t xml:space="preserve">SIP</x:t>
        </x:is>
      </x:c>
      <x:c r="H203" s="15" t="n">
        <x:v>112</x:v>
      </x:c>
      <x:c r="I203" s="9" t="n">
        <x:v>3</x:v>
      </x:c>
      <x:c r="J203" s="9" t="n">
        <x:v>2</x:v>
      </x:c>
      <x:c r="K203" s="9" t="n">
        <x:v>1</x:v>
      </x:c>
      <x:c r="L203" s="9" t="n">
        <x:v>3</x:v>
      </x:c>
      <x:c r="M203" s="12" t="n">
        <x:v>2.45</x:v>
      </x:c>
      <x:c r="N203" s="9" t="inlineStr">
        <x:is>
          <x:t xml:space="preserve">Panel SIP estructural con uniones en pino seco</x:t>
        </x:is>
      </x:c>
      <x:c r="O203" s="10" t="inlineStr">
        <x:is>
          <x:t xml:space="preserve">2 placas OSB estructural + núcleo EPS alta densidad</x:t>
        </x:is>
      </x:c>
      <x:c r="P203" s="15" t="n">
        <x:v>130</x:v>
      </x:c>
      <x:c r="Q203" s="9" t="inlineStr">
        <x:is>
          <x:t xml:space="preserve">EPS alta densidad 15 kg/m³</x:t>
        </x:is>
      </x:c>
      <x:c r="R203" s="15" t="n">
        <x:v>92</x:v>
      </x:c>
      <x:c r="S203" s="10" t="inlineStr">
        <x:is>
          <x:t xml:space="preserve">Panel SIP de cubierta + membrana hidrófuga + hojalatería</x:t>
        </x:is>
      </x:c>
      <x:c r="T203" s="15" t="n">
        <x:v>164</x:v>
      </x:c>
      <x:c r="U203" s="10" t="inlineStr">
        <x:is>
          <x:t xml:space="preserve">EPS integrado + sellos PU</x:t>
        </x:is>
      </x:c>
      <x:c r="V203" s="9" t="inlineStr">
        <x:is>
          <x:t xml:space="preserve">Base entramado madera o radier con barrera de humedad</x:t>
        </x:is>
      </x:c>
      <x:c r="W203" s="10" t="inlineStr">
        <x:is>
          <x:t xml:space="preserve">Aislación bajo piso PET o lana mineral 50-100 mm</x:t>
        </x:is>
      </x:c>
      <x:c r="X203" s="9" t="inlineStr">
        <x:is>
          <x:t xml:space="preserve">Aluminio con termopanel</x:t>
        </x:is>
      </x:c>
      <x:c r="Y203" s="9" t="inlineStr">
        <x:is>
          <x:t xml:space="preserve">Siding fibrocemento</x:t>
        </x:is>
      </x:c>
      <x:c r="Z203" s="9" t="inlineStr">
        <x:is>
          <x:t xml:space="preserve">OSB sellado y pintado</x:t>
        </x:is>
      </x:c>
      <x:c r="AA203" s="9" t="inlineStr">
        <x:is>
          <x:t xml:space="preserve">Sobrecimientos y radier</x:t>
        </x:is>
      </x:c>
      <x:c r="AB203" s="15" t="n">
        <x:v>3</x:v>
      </x:c>
      <x:c r="AC203" s="15" t="n">
        <x:v>12</x:v>
      </x:c>
      <x:c r="AD203" s="9" t="inlineStr">
        <x:is>
          <x:t xml:space="preserve">Segunda vivienda</x:t>
        </x:is>
      </x:c>
      <x:c r="AE203" s="9" t="inlineStr">
        <x:is>
          <x:t xml:space="preserve">Sur lluvioso</x:t>
        </x:is>
      </x:c>
      <x:c r="AF203" s="10" t="inlineStr">
        <x:is>
          <x:t xml:space="preserve">NCh3393:2016 (referencial para paneles SIP)</x:t>
        </x:is>
      </x:c>
      <x:c r="AG203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3" s="10" t="inlineStr">
        <x:is>
          <x:t xml:space="preserve">Estructura: Panel SIP estructural con uniones en pino seco; muros 2 placas OSB estructural + núcleo EPS alta densidad de 130 mm con aislación EPS alta densidad 15 kg/m³ (92 mm); cubierta Panel SIP de cubierta + membrana hidrófuga + hojalatería de 164 mm; ventanas Aluminio con termopanel; revestimiento exterior Smart Panel; interior Yeso cartón RH en zonas húmedas; fundación sugerida Fundación corrida.</x:t>
        </x:is>
      </x:c>
    </x:row>
    <x:row r="204" ht="32" customHeight="1">
      <x:c r="A204" s="9" t="inlineStr">
        <x:is>
          <x:t xml:space="preserve">MOD-0203</x:t>
        </x:is>
      </x:c>
      <x:c r="B204" s="9" t="inlineStr">
        <x:is>
          <x:t xml:space="preserve">EMP-041</x:t>
        </x:is>
      </x:c>
      <x:c r="C204" s="9" t="inlineStr">
        <x:is>
          <x:t xml:space="preserve">Lampa 80</x:t>
        </x:is>
      </x:c>
      <x:c r="D204" s="9" t="inlineStr">
        <x:is>
          <x:t xml:space="preserve">Lampa</x:t>
        </x:is>
      </x:c>
      <x:c r="E204" s="9" t="inlineStr">
        <x:is>
          <x:t xml:space="preserve">Archipiélago</x:t>
        </x:is>
      </x:c>
      <x:c r="F204" s="9" t="inlineStr">
        <x:is>
          <x:t xml:space="preserve">Sí</x:t>
        </x:is>
      </x:c>
      <x:c r="G204" s="9" t="inlineStr">
        <x:is>
          <x:t xml:space="preserve">MODULAR_TIMBER</x:t>
        </x:is>
      </x:c>
      <x:c r="H204" s="15" t="n">
        <x:v>80</x:v>
      </x:c>
      <x:c r="I204" s="9" t="n">
        <x:v>3</x:v>
      </x:c>
      <x:c r="J204" s="9" t="n">
        <x:v>2</x:v>
      </x:c>
      <x:c r="K204" s="9" t="n">
        <x:v>1</x:v>
      </x:c>
      <x:c r="L204" s="9" t="n">
        <x:v>2</x:v>
      </x:c>
      <x:c r="M204" s="12" t="n">
        <x:v>2.4</x:v>
      </x:c>
      <x:c r="N204" s="9" t="inlineStr">
        <x:is>
          <x:t xml:space="preserve">Wood frame modular</x:t>
        </x:is>
      </x:c>
      <x:c r="O204" s="10" t="inlineStr">
        <x:is>
          <x:t xml:space="preserve">Madera estructural + OSB / terciado + barrera hidrófuga</x:t>
        </x:is>
      </x:c>
      <x:c r="P204" s="15" t="n">
        <x:v>89</x:v>
      </x:c>
      <x:c r="Q204" s="9" t="inlineStr">
        <x:is>
          <x:t xml:space="preserve">Lana mineral / lana de vidrio / PET reciclado</x:t>
        </x:is>
      </x:c>
      <x:c r="R204" s="15" t="n">
        <x:v>90</x:v>
      </x:c>
      <x:c r="S204" s="10" t="inlineStr">
        <x:is>
          <x:t xml:space="preserve">Cercha de madera + cubierta metálica o tejuela asfáltica</x:t>
        </x:is>
      </x:c>
      <x:c r="T204" s="15" t="n">
        <x:v>120</x:v>
      </x:c>
      <x:c r="U204" s="10" t="inlineStr">
        <x:is>
          <x:t xml:space="preserve">Lana mineral 80-140 mm + membrana</x:t>
        </x:is>
      </x:c>
      <x:c r="V204" s="9" t="inlineStr">
        <x:is>
          <x:t xml:space="preserve">Plataforma de madera estructural o radier</x:t>
        </x:is>
      </x:c>
      <x:c r="W204" s="10" t="inlineStr">
        <x:is>
          <x:t xml:space="preserve">Lana mineral 50-100 mm / barrera humedad</x:t>
        </x:is>
      </x:c>
      <x:c r="X204" s="9" t="inlineStr">
        <x:is>
          <x:t xml:space="preserve">Aluminio termopanel</x:t>
        </x:is>
      </x:c>
      <x:c r="Y204" s="9" t="inlineStr">
        <x:is>
          <x:t xml:space="preserve">Madera tratada</x:t>
        </x:is>
      </x:c>
      <x:c r="Z204" s="9" t="inlineStr">
        <x:is>
          <x:t xml:space="preserve">Yeso cartón</x:t>
        </x:is>
      </x:c>
      <x:c r="AA204" s="9" t="inlineStr">
        <x:is>
          <x:t xml:space="preserve">Fundación corrida</x:t>
        </x:is>
      </x:c>
      <x:c r="AB204" s="15" t="n">
        <x:v>5</x:v>
      </x:c>
      <x:c r="AC204" s="15" t="n">
        <x:v>9</x:v>
      </x:c>
      <x:c r="AD204" s="9" t="inlineStr">
        <x:is>
          <x:t xml:space="preserve">Turismo / arriendo</x:t>
        </x:is>
      </x:c>
      <x:c r="AE204" s="9" t="inlineStr">
        <x:is>
          <x:t xml:space="preserve">Sur lluvioso</x:t>
        </x:is>
      </x:c>
      <x:c r="AF204" s="10" t="inlineStr">
        <x:is>
          <x:t xml:space="preserve">Especificaciones técnicas de vivienda industrializada en madera (referencial)</x:t>
        </x:is>
      </x:c>
      <x:c r="AG204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04" s="10" t="inlineStr">
        <x:is>
          <x:t xml:space="preserve">Estructura: Entramado ligero en pino impregnado; muros Madera estructural + OSB / terciado + barrera hidrófuga de 89 mm con aislación Lana mineral / lana de vidrio / PET reciclado (90 mm); cubierta Cercha de madera + cubierta metálica o tejuela asfáltica de 120 mm; ventanas Aluminio termopanel; revestimiento exterior Madera tratada; interior Terciado pintado; fundación sugerida Pilotes.</x:t>
        </x:is>
      </x:c>
    </x:row>
    <x:row r="205" ht="32" customHeight="1">
      <x:c r="A205" s="9" t="inlineStr">
        <x:is>
          <x:t xml:space="preserve">MOD-0204</x:t>
        </x:is>
      </x:c>
      <x:c r="B205" s="9" t="inlineStr">
        <x:is>
          <x:t xml:space="preserve">EMP-041</x:t>
        </x:is>
      </x:c>
      <x:c r="C205" s="9" t="inlineStr">
        <x:is>
          <x:t xml:space="preserve">Maipú 156</x:t>
        </x:is>
      </x:c>
      <x:c r="D205" s="9" t="inlineStr">
        <x:is>
          <x:t xml:space="preserve">Maipú</x:t>
        </x:is>
      </x:c>
      <x:c r="E205" s="9" t="inlineStr">
        <x:is>
          <x:t xml:space="preserve">Lago</x:t>
        </x:is>
      </x:c>
      <x:c r="F205" s="9" t="inlineStr">
        <x:is>
          <x:t xml:space="preserve">Sí</x:t>
        </x:is>
      </x:c>
      <x:c r="G205" s="9" t="inlineStr">
        <x:is>
          <x:t xml:space="preserve">STEEL_FRAME</x:t>
        </x:is>
      </x:c>
      <x:c r="H205" s="15" t="n">
        <x:v>156</x:v>
      </x:c>
      <x:c r="I205" s="9" t="n">
        <x:v>4</x:v>
      </x:c>
      <x:c r="J205" s="9" t="n">
        <x:v>3</x:v>
      </x:c>
      <x:c r="K205" s="9" t="n">
        <x:v>2</x:v>
      </x:c>
      <x:c r="L205" s="9" t="n">
        <x:v>4</x:v>
      </x:c>
      <x:c r="M205" s="12" t="n">
        <x:v>2.4</x:v>
      </x:c>
      <x:c r="N205" s="9" t="inlineStr">
        <x:is>
          <x:t xml:space="preserve">Perfilería de acero galvanizado liviano</x:t>
        </x:is>
      </x:c>
      <x:c r="O205" s="10" t="inlineStr">
        <x:is>
          <x:t xml:space="preserve">Acero galvanizado + placa OSB/fibrocemento + cámara técnica</x:t>
        </x:is>
      </x:c>
      <x:c r="P205" s="15" t="n">
        <x:v>110</x:v>
      </x:c>
      <x:c r="Q205" s="9" t="inlineStr">
        <x:is>
          <x:t xml:space="preserve">Lana mineral o lana de roca / PET / EPS según zona térmica</x:t>
        </x:is>
      </x:c>
      <x:c r="R205" s="15" t="n">
        <x:v>80</x:v>
      </x:c>
      <x:c r="S205" s="10" t="inlineStr">
        <x:is>
          <x:t xml:space="preserve">Cerchas o paneles steel frame + cubierta metálica</x:t>
        </x:is>
      </x:c>
      <x:c r="T205" s="15" t="n">
        <x:v>180</x:v>
      </x:c>
      <x:c r="U205" s="10" t="inlineStr">
        <x:is>
          <x:t xml:space="preserve">Lana mineral / lana de roca + barrera de vapor</x:t>
        </x:is>
      </x:c>
      <x:c r="V205" s="9" t="inlineStr">
        <x:is>
          <x:t xml:space="preserve">Envigado metálico o plataforma estructural</x:t>
        </x:is>
      </x:c>
      <x:c r="W205" s="10" t="inlineStr">
        <x:is>
          <x:t xml:space="preserve">Lana mineral 50-100 mm + placas estructurales</x:t>
        </x:is>
      </x:c>
      <x:c r="X205" s="9" t="inlineStr">
        <x:is>
          <x:t xml:space="preserve">PVC termopanel</x:t>
        </x:is>
      </x:c>
      <x:c r="Y205" s="9" t="inlineStr">
        <x:is>
          <x:t xml:space="preserve">Siding fibrocemento</x:t>
        </x:is>
      </x:c>
      <x:c r="Z205" s="9" t="inlineStr">
        <x:is>
          <x:t xml:space="preserve">Yeso cartón</x:t>
        </x:is>
      </x:c>
      <x:c r="AA205" s="9" t="inlineStr">
        <x:is>
          <x:t xml:space="preserve">Pilotes</x:t>
        </x:is>
      </x:c>
      <x:c r="AB205" s="15" t="n">
        <x:v>7</x:v>
      </x:c>
      <x:c r="AC205" s="15" t="n">
        <x:v>6</x:v>
      </x:c>
      <x:c r="AD205" s="9" t="inlineStr">
        <x:is>
          <x:t xml:space="preserve">Segunda vivienda</x:t>
        </x:is>
      </x:c>
      <x:c r="AE205" s="9" t="inlineStr">
        <x:is>
          <x:t xml:space="preserve">Sur lluvioso</x:t>
        </x:is>
      </x:c>
      <x:c r="AF205" s="10" t="inlineStr">
        <x:is>
          <x:t xml:space="preserve">Criterio térmico referencial OGUC / reglamentación térmica vigente</x:t>
        </x:is>
      </x:c>
      <x:c r="AG205" s="10" t="inlineStr">
        <x:is>
          <x:t xml:space="preserve">https://www.steelframe.cl/ | https://vhaceros.cl/blog/steel-framing-principios-estructurales-y-ventajas-en-la-construccion-chilena/</x:t>
        </x:is>
      </x:c>
      <x:c r="AH205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(80 mm); cubierta Cerchas o paneles steel frame + cubierta metálica de 180 mm; ventanas PVC termopanel; revestimiento exterior Siding fibrocemento; interior MDF pintado; fundación sugerida Vigas de fundación y radier.</x:t>
        </x:is>
      </x:c>
    </x:row>
    <x:row r="206" ht="32" customHeight="1">
      <x:c r="A206" s="9" t="inlineStr">
        <x:is>
          <x:t xml:space="preserve">MOD-0205</x:t>
        </x:is>
      </x:c>
      <x:c r="B206" s="9" t="inlineStr">
        <x:is>
          <x:t xml:space="preserve">EMP-041</x:t>
        </x:is>
      </x:c>
      <x:c r="C206" s="9" t="inlineStr">
        <x:is>
          <x:t xml:space="preserve">Puente Alto 210</x:t>
        </x:is>
      </x:c>
      <x:c r="D206" s="9" t="inlineStr">
        <x:is>
          <x:t xml:space="preserve">Puente Alto</x:t>
        </x:is>
      </x:c>
      <x:c r="E206" s="9" t="inlineStr">
        <x:is>
          <x:t xml:space="preserve">Comuna</x:t>
        </x:is>
      </x:c>
      <x:c r="F206" s="9" t="inlineStr">
        <x:is>
          <x:t xml:space="preserve">Sí</x:t>
        </x:is>
      </x:c>
      <x:c r="G206" s="9" t="inlineStr">
        <x:is>
          <x:t xml:space="preserve">HYBRID_MODULAR</x:t>
        </x:is>
      </x:c>
      <x:c r="H206" s="15" t="n">
        <x:v>210</x:v>
      </x:c>
      <x:c r="I206" s="9" t="n">
        <x:v>4</x:v>
      </x:c>
      <x:c r="J206" s="9" t="n">
        <x:v>3</x:v>
      </x:c>
      <x:c r="K206" s="9" t="n">
        <x:v>2</x:v>
      </x:c>
      <x:c r="L206" s="9" t="n">
        <x:v>4</x:v>
      </x:c>
      <x:c r="M206" s="12" t="n">
        <x:v>2.5</x:v>
      </x:c>
      <x:c r="N206" s="9" t="inlineStr">
        <x:is>
          <x:t xml:space="preserve">Módulos de acero + paneles SIP</x:t>
        </x:is>
      </x:c>
      <x:c r="O206" s="10" t="inlineStr">
        <x:is>
          <x:t xml:space="preserve">Acero galvanizado o madera laminada + panel SIP MgO/OSB</x:t>
        </x:is>
      </x:c>
      <x:c r="P206" s="15" t="n">
        <x:v>110</x:v>
      </x:c>
      <x:c r="Q206" s="9" t="inlineStr">
        <x:is>
          <x:t xml:space="preserve">Lana mineral 75-100 mm o EPS integrado</x:t>
        </x:is>
      </x:c>
      <x:c r="R206" s="15" t="n">
        <x:v>100</x:v>
      </x:c>
      <x:c r="S206" s="10" t="inlineStr">
        <x:is>
          <x:t xml:space="preserve">Módulo volumétrico con cubierta panelizada</x:t>
        </x:is>
      </x:c>
      <x:c r="T206" s="15" t="n">
        <x:v>180</x:v>
      </x:c>
      <x:c r="U206" s="10" t="inlineStr">
        <x:is>
          <x:t xml:space="preserve">Lana mineral / EPS / barrera vapor</x:t>
        </x:is>
      </x:c>
      <x:c r="V206" s="9" t="inlineStr">
        <x:is>
          <x:t xml:space="preserve">Bastidor metálico o madera laminada</x:t>
        </x:is>
      </x:c>
      <x:c r="W206" s="10" t="inlineStr">
        <x:is>
          <x:t xml:space="preserve">Lana mineral 80-100 mm + fibrocemento</x:t>
        </x:is>
      </x:c>
      <x:c r="X206" s="9" t="inlineStr">
        <x:is>
          <x:t xml:space="preserve">PVC termopanel</x:t>
        </x:is>
      </x:c>
      <x:c r="Y206" s="9" t="inlineStr">
        <x:is>
          <x:t xml:space="preserve">Madera tratada</x:t>
        </x:is>
      </x:c>
      <x:c r="Z206" s="9" t="inlineStr">
        <x:is>
          <x:t xml:space="preserve">Yeso cartón RH</x:t>
        </x:is>
      </x:c>
      <x:c r="AA206" s="9" t="inlineStr">
        <x:is>
          <x:t xml:space="preserve">Pilotes ajustables</x:t>
        </x:is>
      </x:c>
      <x:c r="AB206" s="15" t="n">
        <x:v>10</x:v>
      </x:c>
      <x:c r="AC206" s="15" t="n">
        <x:v>10</x:v>
      </x:c>
      <x:c r="AD206" s="9" t="inlineStr">
        <x:is>
          <x:t xml:space="preserve">Cabaña permanente</x:t>
        </x:is>
      </x:c>
      <x:c r="AE206" s="9" t="inlineStr">
        <x:is>
          <x:t xml:space="preserve">Sur lluvioso</x:t>
        </x:is>
      </x:c>
      <x:c r="AF206" s="10" t="inlineStr">
        <x:is>
          <x:t xml:space="preserve">Criterios de prefabricación modular y coordinación BIM (referencial)</x:t>
        </x:is>
      </x:c>
      <x:c r="AG206" s="10" t="inlineStr">
        <x:is>
          <x:t xml:space="preserve">https://modul.cl/construccion-de-casas-prefabricadas-modulares/ | https://tecnofasthome.cl/casas-modulares/</x:t>
        </x:is>
      </x:c>
      <x:c r="AH206" s="10" t="inlineStr">
        <x:is>
          <x:t xml:space="preserve">Estructura: Estructura híbrida acero-madera panelizada; muros Acero galvanizado o madera laminada + panel SIP MgO/OSB de 110 mm con aislación Lana mineral 75-100 mm o EPS integrado (100 mm); cubierta Módulo volumétrico con cubierta panelizada de 180 mm; ventanas PVC termopanel; revestimiento exterior Fibrocemento tipo siding; interior Melamina blanca; fundación sugerida Dados de hormigón.</x:t>
        </x:is>
      </x:c>
    </x:row>
    <x:row r="207" ht="32" customHeight="1">
      <x:c r="A207" s="9" t="inlineStr">
        <x:is>
          <x:t xml:space="preserve">MOD-0206</x:t>
        </x:is>
      </x:c>
      <x:c r="B207" s="9" t="inlineStr">
        <x:is>
          <x:t xml:space="preserve">EMP-042</x:t>
        </x:is>
      </x:c>
      <x:c r="C207" s="9" t="inlineStr">
        <x:is>
          <x:t xml:space="preserve">Vitacura 60</x:t>
        </x:is>
      </x:c>
      <x:c r="D207" s="9" t="inlineStr">
        <x:is>
          <x:t xml:space="preserve">Vitacura</x:t>
        </x:is>
      </x:c>
      <x:c r="E207" s="9" t="inlineStr">
        <x:is>
          <x:t xml:space="preserve">Río</x:t>
        </x:is>
      </x:c>
      <x:c r="F207" s="9" t="inlineStr">
        <x:is>
          <x:t xml:space="preserve">Sí</x:t>
        </x:is>
      </x:c>
      <x:c r="G207" s="9" t="inlineStr">
        <x:is>
          <x:t xml:space="preserve">SIP</x:t>
        </x:is>
      </x:c>
      <x:c r="H207" s="15" t="n">
        <x:v>60</x:v>
      </x:c>
      <x:c r="I207" s="9" t="n">
        <x:v>2</x:v>
      </x:c>
      <x:c r="J207" s="9" t="n">
        <x:v>1</x:v>
      </x:c>
      <x:c r="K207" s="9" t="n">
        <x:v>1</x:v>
      </x:c>
      <x:c r="L207" s="9" t="n">
        <x:v>2</x:v>
      </x:c>
      <x:c r="M207" s="12" t="n">
        <x:v>2.35</x:v>
      </x:c>
      <x:c r="N207" s="9" t="inlineStr">
        <x:is>
          <x:t xml:space="preserve">Panel SIP estructural OSB/EPS/OSB</x:t>
        </x:is>
      </x:c>
      <x:c r="O207" s="10" t="inlineStr">
        <x:is>
          <x:t xml:space="preserve">2 placas OSB estructural + núcleo EPS alta densidad</x:t>
        </x:is>
      </x:c>
      <x:c r="P207" s="15" t="n">
        <x:v>90</x:v>
      </x:c>
      <x:c r="Q207" s="9" t="inlineStr">
        <x:is>
          <x:t xml:space="preserve">EPS alta densidad 15 kg/m³</x:t>
        </x:is>
      </x:c>
      <x:c r="R207" s="15" t="n">
        <x:v>92</x:v>
      </x:c>
      <x:c r="S207" s="10" t="inlineStr">
        <x:is>
          <x:t xml:space="preserve">Panel SIP de cubierta + membrana hidrófuga + hojalatería</x:t>
        </x:is>
      </x:c>
      <x:c r="T207" s="15" t="n">
        <x:v>114</x:v>
      </x:c>
      <x:c r="U207" s="10" t="inlineStr">
        <x:is>
          <x:t xml:space="preserve">EPS integrado + sellos PU</x:t>
        </x:is>
      </x:c>
      <x:c r="V207" s="9" t="inlineStr">
        <x:is>
          <x:t xml:space="preserve">Base entramado madera o radier con barrera de humedad</x:t>
        </x:is>
      </x:c>
      <x:c r="W207" s="10" t="inlineStr">
        <x:is>
          <x:t xml:space="preserve">Aislación bajo piso PET o lana mineral 50-100 mm</x:t>
        </x:is>
      </x:c>
      <x:c r="X207" s="9" t="inlineStr">
        <x:is>
          <x:t xml:space="preserve">PVC DVH</x:t>
        </x:is>
      </x:c>
      <x:c r="Y207" s="9" t="inlineStr">
        <x:is>
          <x:t xml:space="preserve">Plancha metálica prepintada</x:t>
        </x:is>
      </x:c>
      <x:c r="Z207" s="9" t="inlineStr">
        <x:is>
          <x:t xml:space="preserve">OSB sellado y pintado</x:t>
        </x:is>
      </x:c>
      <x:c r="AA207" s="9" t="inlineStr">
        <x:is>
          <x:t xml:space="preserve">Radier afinado</x:t>
        </x:is>
      </x:c>
      <x:c r="AB207" s="15" t="n">
        <x:v>5</x:v>
      </x:c>
      <x:c r="AC207" s="15" t="n">
        <x:v>11</x:v>
      </x:c>
      <x:c r="AD207" s="9" t="inlineStr">
        <x:is>
          <x:t xml:space="preserve">Segunda vivienda</x:t>
        </x:is>
      </x:c>
      <x:c r="AE207" s="9" t="inlineStr">
        <x:is>
          <x:t xml:space="preserve">Austral frío</x:t>
        </x:is>
      </x:c>
      <x:c r="AF207" s="10" t="inlineStr">
        <x:is>
          <x:t xml:space="preserve">NCh3393:2016 (referencial para paneles SIP)</x:t>
        </x:is>
      </x:c>
      <x:c r="AG20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7" s="10" t="inlineStr">
        <x:is>
          <x:t xml:space="preserve">Estructura: Panel SIP estructural OSB/EPS/OSB; muros 2 placas OSB estructural + núcleo EPS alta densidad de 90 mm con aislación EPS alta densidad 15 kg/m³ (92 mm); cubierta Panel SIP de cubierta + membrana hidrófuga + hojalatería de 114 mm; ventanas PVC termopanel; revestimiento exterior Plancha metálica prepintada; interior Yeso cartón RH en zonas húmedas; fundación sugerida Pilotes metálicos.</x:t>
        </x:is>
      </x:c>
    </x:row>
    <x:row r="208" ht="32" customHeight="1">
      <x:c r="A208" s="9" t="inlineStr">
        <x:is>
          <x:t xml:space="preserve">MOD-0207</x:t>
        </x:is>
      </x:c>
      <x:c r="B208" s="9" t="inlineStr">
        <x:is>
          <x:t xml:space="preserve">EMP-042</x:t>
        </x:is>
      </x:c>
      <x:c r="C208" s="9" t="inlineStr">
        <x:is>
          <x:t xml:space="preserve">Paine 96</x:t>
        </x:is>
      </x:c>
      <x:c r="D208" s="9" t="inlineStr">
        <x:is>
          <x:t xml:space="preserve">Paine</x:t>
        </x:is>
      </x:c>
      <x:c r="E208" s="9" t="inlineStr">
        <x:is>
          <x:t xml:space="preserve">Valle</x:t>
        </x:is>
      </x:c>
      <x:c r="F208" s="9" t="inlineStr">
        <x:is>
          <x:t xml:space="preserve">Sí</x:t>
        </x:is>
      </x:c>
      <x:c r="G208" s="9" t="inlineStr">
        <x:is>
          <x:t xml:space="preserve">STEEL_FRAME</x:t>
        </x:is>
      </x:c>
      <x:c r="H208" s="15" t="n">
        <x:v>96</x:v>
      </x:c>
      <x:c r="I208" s="9" t="n">
        <x:v>3</x:v>
      </x:c>
      <x:c r="J208" s="9" t="n">
        <x:v>2</x:v>
      </x:c>
      <x:c r="K208" s="9" t="n">
        <x:v>1</x:v>
      </x:c>
      <x:c r="L208" s="9" t="n">
        <x:v>3</x:v>
      </x:c>
      <x:c r="M208" s="12" t="n">
        <x:v>2.35</x:v>
      </x:c>
      <x:c r="N208" s="9" t="inlineStr">
        <x:is>
          <x:t xml:space="preserve">Panelizado steel frame industrializado</x:t>
        </x:is>
      </x:c>
      <x:c r="O208" s="10" t="inlineStr">
        <x:is>
          <x:t xml:space="preserve">Acero galvanizado + placa OSB/fibrocemento + cámara técnica</x:t>
        </x:is>
      </x:c>
      <x:c r="P208" s="15" t="n">
        <x:v>90</x:v>
      </x:c>
      <x:c r="Q208" s="9" t="inlineStr">
        <x:is>
          <x:t xml:space="preserve">Lana mineral o lana de roca / PET / EPS según zona térmica</x:t>
        </x:is>
      </x:c>
      <x:c r="R208" s="15" t="n">
        <x:v>60</x:v>
      </x:c>
      <x:c r="S208" s="10" t="inlineStr">
        <x:is>
          <x:t xml:space="preserve">Cerchas o paneles steel frame + cubierta metálica</x:t>
        </x:is>
      </x:c>
      <x:c r="T208" s="15" t="n">
        <x:v>120</x:v>
      </x:c>
      <x:c r="U208" s="10" t="inlineStr">
        <x:is>
          <x:t xml:space="preserve">Lana mineral / lana de roca + barrera de vapor</x:t>
        </x:is>
      </x:c>
      <x:c r="V208" s="9" t="inlineStr">
        <x:is>
          <x:t xml:space="preserve">Envigado metálico o plataforma estructural</x:t>
        </x:is>
      </x:c>
      <x:c r="W208" s="10" t="inlineStr">
        <x:is>
          <x:t xml:space="preserve">Lana mineral 50-100 mm + placas estructurales</x:t>
        </x:is>
      </x:c>
      <x:c r="X208" s="9" t="inlineStr">
        <x:is>
          <x:t xml:space="preserve">PVC termopanel</x:t>
        </x:is>
      </x:c>
      <x:c r="Y208" s="9" t="inlineStr">
        <x:is>
          <x:t xml:space="preserve">Plancha metálica</x:t>
        </x:is>
      </x:c>
      <x:c r="Z208" s="9" t="inlineStr">
        <x:is>
          <x:t xml:space="preserve">Yeso cartón RF</x:t>
        </x:is>
      </x:c>
      <x:c r="AA208" s="9" t="inlineStr">
        <x:is>
          <x:t xml:space="preserve">Pilotes</x:t>
        </x:is>
      </x:c>
      <x:c r="AB208" s="15" t="n">
        <x:v>7</x:v>
      </x:c>
      <x:c r="AC208" s="15" t="n">
        <x:v>8</x:v>
      </x:c>
      <x:c r="AD208" s="9" t="inlineStr">
        <x:is>
          <x:t xml:space="preserve">Oficina + vivienda</x:t>
        </x:is>
      </x:c>
      <x:c r="AE208" s="9" t="inlineStr">
        <x:is>
          <x:t xml:space="preserve">Austral frío</x:t>
        </x:is>
      </x:c>
      <x:c r="AF208" s="10" t="inlineStr">
        <x:is>
          <x:t xml:space="preserve">Criterio térmico referencial OGUC / reglamentación térmica vigente</x:t>
        </x:is>
      </x:c>
      <x:c r="AG208" s="10" t="inlineStr">
        <x:is>
          <x:t xml:space="preserve">https://www.steelframe.cl/ | https://vhaceros.cl/blog/steel-framing-principios-estructurales-y-ventajas-en-la-construccion-chilena/</x:t>
        </x:is>
      </x:c>
      <x:c r="AH208" s="10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120 mm; ventanas Aluminio RPT termopanel; revestimiento exterior Estuco sobre placa cementicia; interior Yeso cartón RF; fundación sugerida Pilotes.</x:t>
        </x:is>
      </x:c>
    </x:row>
    <x:row r="209" ht="32" customHeight="1">
      <x:c r="A209" s="9" t="inlineStr">
        <x:is>
          <x:t xml:space="preserve">MOD-0208</x:t>
        </x:is>
      </x:c>
      <x:c r="B209" s="9" t="inlineStr">
        <x:is>
          <x:t xml:space="preserve">EMP-042</x:t>
        </x:is>
      </x:c>
      <x:c r="C209" s="9" t="inlineStr">
        <x:is>
          <x:t xml:space="preserve">Buin 112</x:t>
        </x:is>
      </x:c>
      <x:c r="D209" s="9" t="inlineStr">
        <x:is>
          <x:t xml:space="preserve">Buin</x:t>
        </x:is>
      </x:c>
      <x:c r="E209" s="9" t="inlineStr">
        <x:is>
          <x:t xml:space="preserve">Lago</x:t>
        </x:is>
      </x:c>
      <x:c r="F209" s="9" t="inlineStr">
        <x:is>
          <x:t xml:space="preserve">Sí</x:t>
        </x:is>
      </x:c>
      <x:c r="G209" s="9" t="inlineStr">
        <x:is>
          <x:t xml:space="preserve">SIP</x:t>
        </x:is>
      </x:c>
      <x:c r="H209" s="15" t="n">
        <x:v>112</x:v>
      </x:c>
      <x:c r="I209" s="9" t="n">
        <x:v>3</x:v>
      </x:c>
      <x:c r="J209" s="9" t="n">
        <x:v>2</x:v>
      </x:c>
      <x:c r="K209" s="9" t="n">
        <x:v>1</x:v>
      </x:c>
      <x:c r="L209" s="9" t="n">
        <x:v>3</x:v>
      </x:c>
      <x:c r="M209" s="12" t="n">
        <x:v>2.35</x:v>
      </x:c>
      <x:c r="N209" s="9" t="inlineStr">
        <x:is>
          <x:t xml:space="preserve">Panel SIP estructural OSB/EPS/OSB</x:t>
        </x:is>
      </x:c>
      <x:c r="O209" s="10" t="inlineStr">
        <x:is>
          <x:t xml:space="preserve">2 placas OSB estructural + núcleo EPS alta densidad</x:t>
        </x:is>
      </x:c>
      <x:c r="P209" s="15" t="n">
        <x:v>75</x:v>
      </x:c>
      <x:c r="Q209" s="9" t="inlineStr">
        <x:is>
          <x:t xml:space="preserve">EPS alta densidad 15 kg/m³</x:t>
        </x:is>
      </x:c>
      <x:c r="R209" s="15" t="n">
        <x:v>105</x:v>
      </x:c>
      <x:c r="S209" s="10" t="inlineStr">
        <x:is>
          <x:t xml:space="preserve">Panel SIP de cubierta + membrana hidrófuga + hojalatería</x:t>
        </x:is>
      </x:c>
      <x:c r="T209" s="15" t="n">
        <x:v>114</x:v>
      </x:c>
      <x:c r="U209" s="10" t="inlineStr">
        <x:is>
          <x:t xml:space="preserve">EPS integrado + sellos PU</x:t>
        </x:is>
      </x:c>
      <x:c r="V209" s="9" t="inlineStr">
        <x:is>
          <x:t xml:space="preserve">Base entramado madera o radier con barrera de humedad</x:t>
        </x:is>
      </x:c>
      <x:c r="W209" s="10" t="inlineStr">
        <x:is>
          <x:t xml:space="preserve">Aislación bajo piso PET o lana mineral 50-100 mm</x:t>
        </x:is>
      </x:c>
      <x:c r="X209" s="9" t="inlineStr">
        <x:is>
          <x:t xml:space="preserve">PVC DVH</x:t>
        </x:is>
      </x:c>
      <x:c r="Y209" s="9" t="inlineStr">
        <x:is>
          <x:t xml:space="preserve">Siding fibrocemento</x:t>
        </x:is>
      </x:c>
      <x:c r="Z209" s="9" t="inlineStr">
        <x:is>
          <x:t xml:space="preserve">Yeso cartón pintado</x:t>
        </x:is>
      </x:c>
      <x:c r="AA209" s="9" t="inlineStr">
        <x:is>
          <x:t xml:space="preserve">Sobrecimientos y radier</x:t>
        </x:is>
      </x:c>
      <x:c r="AB209" s="15" t="n">
        <x:v>5</x:v>
      </x:c>
      <x:c r="AC209" s="15" t="n">
        <x:v>11</x:v>
      </x:c>
      <x:c r="AD209" s="9" t="inlineStr">
        <x:is>
          <x:t xml:space="preserve">Turismo / arriendo</x:t>
        </x:is>
      </x:c>
      <x:c r="AE209" s="9" t="inlineStr">
        <x:is>
          <x:t xml:space="preserve">Austral frío</x:t>
        </x:is>
      </x:c>
      <x:c r="AF209" s="10" t="inlineStr">
        <x:is>
          <x:t xml:space="preserve">NCh3393:2016 (referencial para paneles SIP)</x:t>
        </x:is>
      </x:c>
      <x:c r="AG20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9" s="10" t="inlineStr">
        <x:is>
          <x:t xml:space="preserve">Estructura: Panel SIP estructural OSB/EPS/OSB; muros 2 placas OSB estructural + núcleo EPS alta densidad de 75 mm con aislación EPS alta densidad 15 kg/m³ (105 mm); cubierta Panel SIP de cubierta + membrana hidrófuga + hojalatería de 114 mm; ventanas PVC termopanel; revestimiento exterior Madera tratada; interior Yeso cartón RH en zonas húmedas; fundación sugerida Fundación corrida.</x:t>
        </x:is>
      </x:c>
    </x:row>
    <x:row r="210" ht="32" customHeight="1">
      <x:c r="A210" s="9" t="inlineStr">
        <x:is>
          <x:t xml:space="preserve">MOD-0209</x:t>
        </x:is>
      </x:c>
      <x:c r="B210" s="9" t="inlineStr">
        <x:is>
          <x:t xml:space="preserve">EMP-042</x:t>
        </x:is>
      </x:c>
      <x:c r="C210" s="9" t="inlineStr">
        <x:is>
          <x:t xml:space="preserve">Colchagua 132</x:t>
        </x:is>
      </x:c>
      <x:c r="D210" s="9" t="inlineStr">
        <x:is>
          <x:t xml:space="preserve">Colchagua</x:t>
        </x:is>
      </x:c>
      <x:c r="E210" s="9" t="inlineStr">
        <x:is>
          <x:t xml:space="preserve">Ciudad</x:t>
        </x:is>
      </x:c>
      <x:c r="F210" s="9" t="inlineStr">
        <x:is>
          <x:t xml:space="preserve">Sí</x:t>
        </x:is>
      </x:c>
      <x:c r="G210" s="9" t="inlineStr">
        <x:is>
          <x:t xml:space="preserve">CONTAINER</x:t>
        </x:is>
      </x:c>
      <x:c r="H210" s="15" t="n">
        <x:v>132</x:v>
      </x:c>
      <x:c r="I210" s="9" t="n">
        <x:v>3</x:v>
      </x:c>
      <x:c r="J210" s="9" t="n">
        <x:v>2</x:v>
      </x:c>
      <x:c r="K210" s="9" t="n">
        <x:v>1</x:v>
      </x:c>
      <x:c r="L210" s="9" t="n">
        <x:v>3</x:v>
      </x:c>
      <x:c r="M210" s="12" t="n">
        <x:v>2.5</x:v>
      </x:c>
      <x:c r="N210" s="9" t="inlineStr">
        <x:is>
          <x:t xml:space="preserve">Módulo habitacional de acero galvanizado / corten</x:t>
        </x:is>
      </x:c>
      <x:c r="O210" s="10" t="inlineStr">
        <x:is>
          <x:t xml:space="preserve">Estructura container + subestructura interior + revestimiento</x:t>
        </x:is>
      </x:c>
      <x:c r="P210" s="15" t="n">
        <x:v>140</x:v>
      </x:c>
      <x:c r="Q210" s="9" t="inlineStr">
        <x:is>
          <x:t xml:space="preserve">Poliuretano proyectado o EPS/Aislapol 40-60 mm</x:t>
        </x:is>
      </x:c>
      <x:c r="R210" s="15" t="n">
        <x:v>50</x:v>
      </x:c>
      <x:c r="S210" s="10" t="inlineStr">
        <x:is>
          <x:t xml:space="preserve">Cubierta metálica container + sobretecho ventilado opcional</x:t>
        </x:is>
      </x:c>
      <x:c r="T210" s="15" t="n">
        <x:v>100</x:v>
      </x:c>
      <x:c r="U210" s="10" t="inlineStr">
        <x:is>
          <x:t xml:space="preserve">Poliuretano / EPS + barrera anticondensación</x:t>
        </x:is>
      </x:c>
      <x:c r="V210" s="9" t="inlineStr">
        <x:is>
          <x:t xml:space="preserve">Piso terciado 18 mm o base original acondicionada + vinílico</x:t>
        </x:is>
      </x:c>
      <x:c r="W210" s="10" t="inlineStr">
        <x:is>
          <x:t xml:space="preserve">Aislación bajo piso 40-80 mm</x:t>
        </x:is>
      </x:c>
      <x:c r="X210" s="9" t="inlineStr">
        <x:is>
          <x:t xml:space="preserve">PVC termopanel</x:t>
        </x:is>
      </x:c>
      <x:c r="Y210" s="9" t="inlineStr">
        <x:is>
          <x:t xml:space="preserve">Plancha metálica prepintada</x:t>
        </x:is>
      </x:c>
      <x:c r="Z210" s="9" t="inlineStr">
        <x:is>
          <x:t xml:space="preserve">Yeso cartón</x:t>
        </x:is>
      </x:c>
      <x:c r="AA210" s="9" t="inlineStr">
        <x:is>
          <x:t xml:space="preserve">Dados de hormigón</x:t>
        </x:is>
      </x:c>
      <x:c r="AB210" s="15" t="n">
        <x:v>5</x:v>
      </x:c>
      <x:c r="AC210" s="15" t="n">
        <x:v>2</x:v>
      </x:c>
      <x:c r="AD210" s="9" t="inlineStr">
        <x:is>
          <x:t xml:space="preserve">Loteo habitacional</x:t>
        </x:is>
      </x:c>
      <x:c r="AE210" s="9" t="inlineStr">
        <x:is>
          <x:t xml:space="preserve">Austral frío</x:t>
        </x:is>
      </x:c>
      <x:c r="AF210" s="10" t="inlineStr">
        <x:is>
          <x:t xml:space="preserve">Criterios de aislación, ventilación y tratamiento anticorrosivo (referencial)</x:t>
        </x:is>
      </x:c>
      <x:c r="AG210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10" s="10" t="inlineStr">
        <x:is>
          <x:t xml:space="preserve">Estructura: Contenedor marítimo acondicionado; muros Estructura container + subestructura interior + revestimiento de 140 mm con aislación Poliuretano proyectado o EPS/Aislapol 40-60 mm (50 mm); cubierta Cubierta metálica container + sobretecho ventilado opcional de 100 mm; ventanas PVC termopanel; revestimiento exterior Plancha metálica prepintada; interior Madera pintada; fundación sugerida Pilotes metálicos.</x:t>
        </x:is>
      </x:c>
    </x:row>
    <x:row r="211" ht="32" customHeight="1">
      <x:c r="A211" s="9" t="inlineStr">
        <x:is>
          <x:t xml:space="preserve">MOD-0210</x:t>
        </x:is>
      </x:c>
      <x:c r="B211" s="9" t="inlineStr">
        <x:is>
          <x:t xml:space="preserve">EMP-042</x:t>
        </x:is>
      </x:c>
      <x:c r="C211" s="9" t="inlineStr">
        <x:is>
          <x:t xml:space="preserve">Cochamó 210</x:t>
        </x:is>
      </x:c>
      <x:c r="D211" s="9" t="inlineStr">
        <x:is>
          <x:t xml:space="preserve">Cochamó</x:t>
        </x:is>
      </x:c>
      <x:c r="E211" s="9" t="inlineStr">
        <x:is>
          <x:t xml:space="preserve">Comuna</x:t>
        </x:is>
      </x:c>
      <x:c r="F211" s="9" t="inlineStr">
        <x:is>
          <x:t xml:space="preserve">Sí</x:t>
        </x:is>
      </x:c>
      <x:c r="G211" s="9" t="inlineStr">
        <x:is>
          <x:t xml:space="preserve">HYBRID_MODULAR</x:t>
        </x:is>
      </x:c>
      <x:c r="H211" s="15" t="n">
        <x:v>210</x:v>
      </x:c>
      <x:c r="I211" s="9" t="n">
        <x:v>4</x:v>
      </x:c>
      <x:c r="J211" s="9" t="n">
        <x:v>3</x:v>
      </x:c>
      <x:c r="K211" s="9" t="n">
        <x:v>2</x:v>
      </x:c>
      <x:c r="L211" s="9" t="n">
        <x:v>4</x:v>
      </x:c>
      <x:c r="M211" s="12" t="n">
        <x:v>2.4</x:v>
      </x:c>
      <x:c r="N211" s="9" t="inlineStr">
        <x:is>
          <x:t xml:space="preserve">Módulos de acero + paneles SIP</x:t>
        </x:is>
      </x:c>
      <x:c r="O211" s="10" t="inlineStr">
        <x:is>
          <x:t xml:space="preserve">Acero galvanizado o madera laminada + panel SIP MgO/OSB</x:t>
        </x:is>
      </x:c>
      <x:c r="P211" s="15" t="n">
        <x:v>120</x:v>
      </x:c>
      <x:c r="Q211" s="9" t="inlineStr">
        <x:is>
          <x:t xml:space="preserve">Lana mineral 75-100 mm o EPS integrado</x:t>
        </x:is>
      </x:c>
      <x:c r="R211" s="15" t="n">
        <x:v>90</x:v>
      </x:c>
      <x:c r="S211" s="10" t="inlineStr">
        <x:is>
          <x:t xml:space="preserve">Módulo volumétrico con cubierta panelizada</x:t>
        </x:is>
      </x:c>
      <x:c r="T211" s="15" t="n">
        <x:v>180</x:v>
      </x:c>
      <x:c r="U211" s="10" t="inlineStr">
        <x:is>
          <x:t xml:space="preserve">Lana mineral / EPS / barrera vapor</x:t>
        </x:is>
      </x:c>
      <x:c r="V211" s="9" t="inlineStr">
        <x:is>
          <x:t xml:space="preserve">Bastidor metálico o madera laminada</x:t>
        </x:is>
      </x:c>
      <x:c r="W211" s="10" t="inlineStr">
        <x:is>
          <x:t xml:space="preserve">Lana mineral 80-100 mm + fibrocemento</x:t>
        </x:is>
      </x:c>
      <x:c r="X211" s="9" t="inlineStr">
        <x:is>
          <x:t xml:space="preserve">PVC termopanel</x:t>
        </x:is>
      </x:c>
      <x:c r="Y211" s="9" t="inlineStr">
        <x:is>
          <x:t xml:space="preserve">Madera tratada</x:t>
        </x:is>
      </x:c>
      <x:c r="Z211" s="9" t="inlineStr">
        <x:is>
          <x:t xml:space="preserve">Yeso cartón RH</x:t>
        </x:is>
      </x:c>
      <x:c r="AA211" s="9" t="inlineStr">
        <x:is>
          <x:t xml:space="preserve">Pilotes ajustables</x:t>
        </x:is>
      </x:c>
      <x:c r="AB211" s="15" t="n">
        <x:v>9</x:v>
      </x:c>
      <x:c r="AC211" s="15" t="n">
        <x:v>7</x:v>
      </x:c>
      <x:c r="AD211" s="9" t="inlineStr">
        <x:is>
          <x:t xml:space="preserve">Primera vivienda</x:t>
        </x:is>
      </x:c>
      <x:c r="AE211" s="9" t="inlineStr">
        <x:is>
          <x:t xml:space="preserve">Austral frío</x:t>
        </x:is>
      </x:c>
      <x:c r="AF211" s="10" t="inlineStr">
        <x:is>
          <x:t xml:space="preserve">Criterios de prefabricación modular y coordinación BIM (referencial)</x:t>
        </x:is>
      </x:c>
      <x:c r="AG211" s="10" t="inlineStr">
        <x:is>
          <x:t xml:space="preserve">https://modul.cl/construccion-de-casas-prefabricadas-modulares/ | https://tecnofasthome.cl/casas-modulares/</x:t>
        </x:is>
      </x:c>
      <x:c r="AH211" s="10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180 mm; ventanas Aluminio termopanel; revestimiento exterior Plancha metálica; interior Melamina blanca; fundación sugerida Dados de hormigón.</x:t>
        </x:is>
      </x:c>
    </x:row>
    <x:row r="212" ht="32" customHeight="1">
      <x:c r="A212" s="9" t="inlineStr">
        <x:is>
          <x:t xml:space="preserve">MOD-0211</x:t>
        </x:is>
      </x:c>
      <x:c r="B212" s="9" t="inlineStr">
        <x:is>
          <x:t xml:space="preserve">EMP-043</x:t>
        </x:is>
      </x:c>
      <x:c r="C212" s="9" t="inlineStr">
        <x:is>
          <x:t xml:space="preserve">Chaitén 42</x:t>
        </x:is>
      </x:c>
      <x:c r="D212" s="9" t="inlineStr">
        <x:is>
          <x:t xml:space="preserve">Chaitén</x:t>
        </x:is>
      </x:c>
      <x:c r="E212" s="9" t="inlineStr">
        <x:is>
          <x:t xml:space="preserve">Río</x:t>
        </x:is>
      </x:c>
      <x:c r="F212" s="9" t="inlineStr">
        <x:is>
          <x:t xml:space="preserve">Sí</x:t>
        </x:is>
      </x:c>
      <x:c r="G212" s="9" t="inlineStr">
        <x:is>
          <x:t xml:space="preserve">MODULAR_TIMBER</x:t>
        </x:is>
      </x:c>
      <x:c r="H212" s="15" t="n">
        <x:v>42</x:v>
      </x:c>
      <x:c r="I212" s="9" t="n">
        <x:v>1</x:v>
      </x:c>
      <x:c r="J212" s="9" t="n">
        <x:v>1</x:v>
      </x:c>
      <x:c r="K212" s="9" t="n">
        <x:v>1</x:v>
      </x:c>
      <x:c r="L212" s="9" t="n">
        <x:v>1</x:v>
      </x:c>
      <x:c r="M212" s="12" t="n">
        <x:v>2.35</x:v>
      </x:c>
      <x:c r="N212" s="9" t="inlineStr">
        <x:is>
          <x:t xml:space="preserve">Entramado ligero en pino impregnado</x:t>
        </x:is>
      </x:c>
      <x:c r="O212" s="10" t="inlineStr">
        <x:is>
          <x:t xml:space="preserve">Madera estructural + OSB / terciado + barrera hidrófuga</x:t>
        </x:is>
      </x:c>
      <x:c r="P212" s="15" t="n">
        <x:v>140</x:v>
      </x:c>
      <x:c r="Q212" s="9" t="inlineStr">
        <x:is>
          <x:t xml:space="preserve">Lana mineral / lana de vidrio / PET reciclado</x:t>
        </x:is>
      </x:c>
      <x:c r="R212" s="15" t="n">
        <x:v>90</x:v>
      </x:c>
      <x:c r="S212" s="10" t="inlineStr">
        <x:is>
          <x:t xml:space="preserve">Cercha de madera + cubierta metálica o tejuela asfáltica</x:t>
        </x:is>
      </x:c>
      <x:c r="T212" s="15" t="n">
        <x:v>180</x:v>
      </x:c>
      <x:c r="U212" s="10" t="inlineStr">
        <x:is>
          <x:t xml:space="preserve">Lana mineral 80-140 mm + membrana</x:t>
        </x:is>
      </x:c>
      <x:c r="V212" s="9" t="inlineStr">
        <x:is>
          <x:t xml:space="preserve">Plataforma de madera estructural o radier</x:t>
        </x:is>
      </x:c>
      <x:c r="W212" s="10" t="inlineStr">
        <x:is>
          <x:t xml:space="preserve">Lana mineral 50-100 mm / barrera humedad</x:t>
        </x:is>
      </x:c>
      <x:c r="X212" s="9" t="inlineStr">
        <x:is>
          <x:t xml:space="preserve">Aluminio termopanel</x:t>
        </x:is>
      </x:c>
      <x:c r="Y212" s="9" t="inlineStr">
        <x:is>
          <x:t xml:space="preserve">Madera tratada</x:t>
        </x:is>
      </x:c>
      <x:c r="Z212" s="9" t="inlineStr">
        <x:is>
          <x:t xml:space="preserve">MDF ranurado</x:t>
        </x:is>
      </x:c>
      <x:c r="AA212" s="9" t="inlineStr">
        <x:is>
          <x:t xml:space="preserve">Pilotes</x:t>
        </x:is>
      </x:c>
      <x:c r="AB212" s="15" t="n">
        <x:v>8</x:v>
      </x:c>
      <x:c r="AC212" s="15" t="n">
        <x:v>18</x:v>
      </x:c>
      <x:c r="AD212" s="9" t="inlineStr">
        <x:is>
          <x:t xml:space="preserve">Primera vivienda</x:t>
        </x:is>
      </x:c>
      <x:c r="AE212" s="9" t="inlineStr">
        <x:is>
          <x:t xml:space="preserve">Austral frío</x:t>
        </x:is>
      </x:c>
      <x:c r="AF212" s="10" t="inlineStr">
        <x:is>
          <x:t xml:space="preserve">Especificaciones técnicas de vivienda industrializada en madera (referencial)</x:t>
        </x:is>
      </x:c>
      <x:c r="AG212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12" s="10" t="inlineStr">
        <x:is>
          <x:t xml:space="preserve">Estructura: Madera laminada y entramado ligero; muros Madera estructural + OSB / terciado + barrera hidrófuga de 140 mm con aislación Lana mineral / lana de vidrio / PET reciclado (90 mm); cubierta Cercha de madera + cubierta metálica o tejuela asfáltica de 180 mm; ventanas PVC termopanel; revestimiento exterior Smart Panel; interior MDF ranurado; fundación sugerida Radier.</x:t>
        </x:is>
      </x:c>
    </x:row>
    <x:row r="213" ht="32" customHeight="1">
      <x:c r="A213" s="9" t="inlineStr">
        <x:is>
          <x:t xml:space="preserve">MOD-0212</x:t>
        </x:is>
      </x:c>
      <x:c r="B213" s="9" t="inlineStr">
        <x:is>
          <x:t xml:space="preserve">EMP-043</x:t>
        </x:is>
      </x:c>
      <x:c r="C213" s="9" t="inlineStr">
        <x:is>
          <x:t xml:space="preserve">Hornopirén 88</x:t>
        </x:is>
      </x:c>
      <x:c r="D213" s="9" t="inlineStr">
        <x:is>
          <x:t xml:space="preserve">Hornopirén</x:t>
        </x:is>
      </x:c>
      <x:c r="E213" s="9" t="inlineStr">
        <x:is>
          <x:t xml:space="preserve">Volcán</x:t>
        </x:is>
      </x:c>
      <x:c r="F213" s="9" t="inlineStr">
        <x:is>
          <x:t xml:space="preserve">Sí</x:t>
        </x:is>
      </x:c>
      <x:c r="G213" s="9" t="inlineStr">
        <x:is>
          <x:t xml:space="preserve">MODULAR_TIMBER</x:t>
        </x:is>
      </x:c>
      <x:c r="H213" s="15" t="n">
        <x:v>88</x:v>
      </x:c>
      <x:c r="I213" s="9" t="n">
        <x:v>3</x:v>
      </x:c>
      <x:c r="J213" s="9" t="n">
        <x:v>2</x:v>
      </x:c>
      <x:c r="K213" s="9" t="n">
        <x:v>1</x:v>
      </x:c>
      <x:c r="L213" s="9" t="n">
        <x:v>3</x:v>
      </x:c>
      <x:c r="M213" s="12" t="n">
        <x:v>2.45</x:v>
      </x:c>
      <x:c r="N213" s="9" t="inlineStr">
        <x:is>
          <x:t xml:space="preserve">Madera laminada y entramado ligero</x:t>
        </x:is>
      </x:c>
      <x:c r="O213" s="10" t="inlineStr">
        <x:is>
          <x:t xml:space="preserve">Madera estructural + OSB / terciado + barrera hidrófuga</x:t>
        </x:is>
      </x:c>
      <x:c r="P213" s="15" t="n">
        <x:v>100</x:v>
      </x:c>
      <x:c r="Q213" s="9" t="inlineStr">
        <x:is>
          <x:t xml:space="preserve">Lana mineral / lana de vidrio / PET reciclado</x:t>
        </x:is>
      </x:c>
      <x:c r="R213" s="15" t="n">
        <x:v>90</x:v>
      </x:c>
      <x:c r="S213" s="10" t="inlineStr">
        <x:is>
          <x:t xml:space="preserve">Cercha de madera + cubierta metálica o tejuela asfáltica</x:t>
        </x:is>
      </x:c>
      <x:c r="T213" s="15" t="n">
        <x:v>120</x:v>
      </x:c>
      <x:c r="U213" s="10" t="inlineStr">
        <x:is>
          <x:t xml:space="preserve">Lana mineral 80-140 mm + membrana</x:t>
        </x:is>
      </x:c>
      <x:c r="V213" s="9" t="inlineStr">
        <x:is>
          <x:t xml:space="preserve">Plataforma de madera estructural o radier</x:t>
        </x:is>
      </x:c>
      <x:c r="W213" s="10" t="inlineStr">
        <x:is>
          <x:t xml:space="preserve">Lana mineral 50-100 mm / barrera humedad</x:t>
        </x:is>
      </x:c>
      <x:c r="X213" s="9" t="inlineStr">
        <x:is>
          <x:t xml:space="preserve">PVC termopanel</x:t>
        </x:is>
      </x:c>
      <x:c r="Y213" s="9" t="inlineStr">
        <x:is>
          <x:t xml:space="preserve">Smart Panel</x:t>
        </x:is>
      </x:c>
      <x:c r="Z213" s="9" t="inlineStr">
        <x:is>
          <x:t xml:space="preserve">Terciado pintado</x:t>
        </x:is>
      </x:c>
      <x:c r="AA213" s="9" t="inlineStr">
        <x:is>
          <x:t xml:space="preserve">Fundación corrida</x:t>
        </x:is>
      </x:c>
      <x:c r="AB213" s="15" t="n">
        <x:v>8</x:v>
      </x:c>
      <x:c r="AC213" s="15" t="n">
        <x:v>7</x:v>
      </x:c>
      <x:c r="AD213" s="9" t="inlineStr">
        <x:is>
          <x:t xml:space="preserve">Loteo habitacional</x:t>
        </x:is>
      </x:c>
      <x:c r="AE213" s="9" t="inlineStr">
        <x:is>
          <x:t xml:space="preserve">Austral frío</x:t>
        </x:is>
      </x:c>
      <x:c r="AF213" s="10" t="inlineStr">
        <x:is>
          <x:t xml:space="preserve">Especificaciones técnicas de vivienda industrializada en madera (referencial)</x:t>
        </x:is>
      </x:c>
      <x:c r="AG213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13" s="10" t="inlineStr">
        <x:is>
          <x:t xml:space="preserve">Estructura: Madera laminada y entramado ligero; muros Madera estructural + OSB / terciado + barrera hidrófuga de 100 mm con aislación Lana mineral / lana de vidrio / PET reciclado (90 mm); cubierta Cercha de madera + cubierta metálica o tejuela asfáltica de 120 mm; ventanas Aluminio termopanel; revestimiento exterior Siding fibrocemento; interior Terciado pintado; fundación sugerida Radier.</x:t>
        </x:is>
      </x:c>
    </x:row>
    <x:row r="214" ht="32" customHeight="1">
      <x:c r="A214" s="9" t="inlineStr">
        <x:is>
          <x:t xml:space="preserve">MOD-0213</x:t>
        </x:is>
      </x:c>
      <x:c r="B214" s="9" t="inlineStr">
        <x:is>
          <x:t xml:space="preserve">EMP-043</x:t>
        </x:is>
      </x:c>
      <x:c r="C214" s="9" t="inlineStr">
        <x:is>
          <x:t xml:space="preserve">Fresia 72</x:t>
        </x:is>
      </x:c>
      <x:c r="D214" s="9" t="inlineStr">
        <x:is>
          <x:t xml:space="preserve">Fresia</x:t>
        </x:is>
      </x:c>
      <x:c r="E214" s="9" t="inlineStr">
        <x:is>
          <x:t xml:space="preserve">Lago</x:t>
        </x:is>
      </x:c>
      <x:c r="F214" s="9" t="inlineStr">
        <x:is>
          <x:t xml:space="preserve">Sí</x:t>
        </x:is>
      </x:c>
      <x:c r="G214" s="9" t="inlineStr">
        <x:is>
          <x:t xml:space="preserve">SIP</x:t>
        </x:is>
      </x:c>
      <x:c r="H214" s="15" t="n">
        <x:v>72</x:v>
      </x:c>
      <x:c r="I214" s="9" t="n">
        <x:v>2</x:v>
      </x:c>
      <x:c r="J214" s="9" t="n">
        <x:v>2</x:v>
      </x:c>
      <x:c r="K214" s="9" t="n">
        <x:v>1</x:v>
      </x:c>
      <x:c r="L214" s="9" t="n">
        <x:v>2</x:v>
      </x:c>
      <x:c r="M214" s="12" t="n">
        <x:v>2.35</x:v>
      </x:c>
      <x:c r="N214" s="9" t="inlineStr">
        <x:is>
          <x:t xml:space="preserve">Panel SIP estructural OSB/EPS/OSB</x:t>
        </x:is>
      </x:c>
      <x:c r="O214" s="10" t="inlineStr">
        <x:is>
          <x:t xml:space="preserve">2 placas OSB estructural + núcleo EPS alta densidad</x:t>
        </x:is>
      </x:c>
      <x:c r="P214" s="15" t="n">
        <x:v>90</x:v>
      </x:c>
      <x:c r="Q214" s="9" t="inlineStr">
        <x:is>
          <x:t xml:space="preserve">EPS alta densidad 15 kg/m³</x:t>
        </x:is>
      </x:c>
      <x:c r="R214" s="15" t="n">
        <x:v>92</x:v>
      </x:c>
      <x:c r="S214" s="10" t="inlineStr">
        <x:is>
          <x:t xml:space="preserve">Panel SIP de cubierta + membrana hidrófuga + hojalatería</x:t>
        </x:is>
      </x:c>
      <x:c r="T214" s="15" t="n">
        <x:v>114</x:v>
      </x:c>
      <x:c r="U214" s="10" t="inlineStr">
        <x:is>
          <x:t xml:space="preserve">EPS integrado + sellos PU</x:t>
        </x:is>
      </x:c>
      <x:c r="V214" s="9" t="inlineStr">
        <x:is>
          <x:t xml:space="preserve">Base entramado madera o radier con barrera de humedad</x:t>
        </x:is>
      </x:c>
      <x:c r="W214" s="10" t="inlineStr">
        <x:is>
          <x:t xml:space="preserve">Aislación bajo piso PET o lana mineral 50-100 mm</x:t>
        </x:is>
      </x:c>
      <x:c r="X214" s="9" t="inlineStr">
        <x:is>
          <x:t xml:space="preserve">PVC termopanel</x:t>
        </x:is>
      </x:c>
      <x:c r="Y214" s="9" t="inlineStr">
        <x:is>
          <x:t xml:space="preserve">Madera tratada</x:t>
        </x:is>
      </x:c>
      <x:c r="Z214" s="9" t="inlineStr">
        <x:is>
          <x:t xml:space="preserve">Yeso cartón RH en zonas húmedas</x:t>
        </x:is>
      </x:c>
      <x:c r="AA214" s="9" t="inlineStr">
        <x:is>
          <x:t xml:space="preserve">Fundación corrida</x:t>
        </x:is>
      </x:c>
      <x:c r="AB214" s="15" t="n">
        <x:v>3</x:v>
      </x:c>
      <x:c r="AC214" s="15" t="n">
        <x:v>12</x:v>
      </x:c>
      <x:c r="AD214" s="9" t="inlineStr">
        <x:is>
          <x:t xml:space="preserve">Turismo / arriendo</x:t>
        </x:is>
      </x:c>
      <x:c r="AE214" s="9" t="inlineStr">
        <x:is>
          <x:t xml:space="preserve">Austral frío</x:t>
        </x:is>
      </x:c>
      <x:c r="AF214" s="10" t="inlineStr">
        <x:is>
          <x:t xml:space="preserve">NCh3393:2016 (referencial para paneles SIP)</x:t>
        </x:is>
      </x:c>
      <x:c r="AG21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14" s="10" t="inlineStr">
        <x:is>
          <x:t xml:space="preserve">Estructura: Panel SIP estructural OSB/EPS/OSB; muros 2 placas OSB estructural + núcleo EPS alta densidad de 90 mm con aislación EPS alta densidad 15 kg/m³ (92 mm); cubierta Panel SIP de cubierta + membrana hidrófuga + hojalatería de 114 mm; ventanas PVC DVH; revestimiento exterior Smart Panel; interior Yeso cartón pintado; fundación sugerida Fundación corrida.</x:t>
        </x:is>
      </x:c>
    </x:row>
    <x:row r="215" ht="32" customHeight="1">
      <x:c r="A215" s="9" t="inlineStr">
        <x:is>
          <x:t xml:space="preserve">MOD-0214</x:t>
        </x:is>
      </x:c>
      <x:c r="B215" s="9" t="inlineStr">
        <x:is>
          <x:t xml:space="preserve">EMP-043</x:t>
        </x:is>
      </x:c>
      <x:c r="C215" s="9" t="inlineStr">
        <x:is>
          <x:t xml:space="preserve">Alerce 156</x:t>
        </x:is>
      </x:c>
      <x:c r="D215" s="9" t="inlineStr">
        <x:is>
          <x:t xml:space="preserve">Alerce</x:t>
        </x:is>
      </x:c>
      <x:c r="E215" s="9" t="inlineStr">
        <x:is>
          <x:t xml:space="preserve">Valle</x:t>
        </x:is>
      </x:c>
      <x:c r="F215" s="9" t="inlineStr">
        <x:is>
          <x:t xml:space="preserve">Sí</x:t>
        </x:is>
      </x:c>
      <x:c r="G215" s="9" t="inlineStr">
        <x:is>
          <x:t xml:space="preserve">HYBRID_MODULAR</x:t>
        </x:is>
      </x:c>
      <x:c r="H215" s="15" t="n">
        <x:v>156</x:v>
      </x:c>
      <x:c r="I215" s="9" t="n">
        <x:v>4</x:v>
      </x:c>
      <x:c r="J215" s="9" t="n">
        <x:v>3</x:v>
      </x:c>
      <x:c r="K215" s="9" t="n">
        <x:v>2</x:v>
      </x:c>
      <x:c r="L215" s="9" t="n">
        <x:v>4</x:v>
      </x:c>
      <x:c r="M215" s="12" t="n">
        <x:v>2.45</x:v>
      </x:c>
      <x:c r="N215" s="9" t="inlineStr">
        <x:is>
          <x:t xml:space="preserve">Estructura híbrida acero-madera panelizada</x:t>
        </x:is>
      </x:c>
      <x:c r="O215" s="10" t="inlineStr">
        <x:is>
          <x:t xml:space="preserve">Acero galvanizado o madera laminada + panel SIP MgO/OSB</x:t>
        </x:is>
      </x:c>
      <x:c r="P215" s="15" t="n">
        <x:v>120</x:v>
      </x:c>
      <x:c r="Q215" s="9" t="inlineStr">
        <x:is>
          <x:t xml:space="preserve">Lana mineral 75-100 mm o EPS integrado</x:t>
        </x:is>
      </x:c>
      <x:c r="R215" s="15" t="n">
        <x:v>100</x:v>
      </x:c>
      <x:c r="S215" s="10" t="inlineStr">
        <x:is>
          <x:t xml:space="preserve">Módulo volumétrico con cubierta panelizada</x:t>
        </x:is>
      </x:c>
      <x:c r="T215" s="15" t="n">
        <x:v>140</x:v>
      </x:c>
      <x:c r="U215" s="10" t="inlineStr">
        <x:is>
          <x:t xml:space="preserve">Lana mineral / EPS / barrera vapor</x:t>
        </x:is>
      </x:c>
      <x:c r="V215" s="9" t="inlineStr">
        <x:is>
          <x:t xml:space="preserve">Bastidor metálico o madera laminada</x:t>
        </x:is>
      </x:c>
      <x:c r="W215" s="10" t="inlineStr">
        <x:is>
          <x:t xml:space="preserve">Lana mineral 80-100 mm + fibrocemento</x:t>
        </x:is>
      </x:c>
      <x:c r="X215" s="9" t="inlineStr">
        <x:is>
          <x:t xml:space="preserve">Aluminio termopanel</x:t>
        </x:is>
      </x:c>
      <x:c r="Y215" s="9" t="inlineStr">
        <x:is>
          <x:t xml:space="preserve">Fibrocemento tipo siding</x:t>
        </x:is>
      </x:c>
      <x:c r="Z215" s="9" t="inlineStr">
        <x:is>
          <x:t xml:space="preserve">Yeso cartón RH</x:t>
        </x:is>
      </x:c>
      <x:c r="AA215" s="9" t="inlineStr">
        <x:is>
          <x:t xml:space="preserve">Pilotes ajustables</x:t>
        </x:is>
      </x:c>
      <x:c r="AB215" s="15" t="n">
        <x:v>10</x:v>
      </x:c>
      <x:c r="AC215" s="15" t="n">
        <x:v>9</x:v>
      </x:c>
      <x:c r="AD215" s="9" t="inlineStr">
        <x:is>
          <x:t xml:space="preserve">Loteo habitacional</x:t>
        </x:is>
      </x:c>
      <x:c r="AE215" s="9" t="inlineStr">
        <x:is>
          <x:t xml:space="preserve">Austral frío</x:t>
        </x:is>
      </x:c>
      <x:c r="AF215" s="10" t="inlineStr">
        <x:is>
          <x:t xml:space="preserve">Criterios de prefabricación modular y coordinación BIM (referencial)</x:t>
        </x:is>
      </x:c>
      <x:c r="AG215" s="10" t="inlineStr">
        <x:is>
          <x:t xml:space="preserve">https://modul.cl/construccion-de-casas-prefabricadas-modulares/ | https://tecnofasthome.cl/casas-modulares/</x:t>
        </x:is>
      </x:c>
      <x:c r="AH215" s="10" t="inlineStr">
        <x:is>
          <x:t xml:space="preserve">Estructura: Módulos de acero + paneles SIP; muros Acero galvanizado o madera laminada + panel SIP MgO/OSB de 120 mm con aislación Lana mineral 75-100 mm o EPS integrado (100 mm); cubierta Módulo volumétrico con cubierta panelizada de 140 mm; ventanas PVC termopanel; revestimiento exterior Plancha metálica; interior Melamina blanca; fundación sugerida Dados de hormigón.</x:t>
        </x:is>
      </x:c>
    </x:row>
    <x:row r="216" ht="32" customHeight="1">
      <x:c r="A216" s="9" t="inlineStr">
        <x:is>
          <x:t xml:space="preserve">MOD-0215</x:t>
        </x:is>
      </x:c>
      <x:c r="B216" s="9" t="inlineStr">
        <x:is>
          <x:t xml:space="preserve">EMP-043</x:t>
        </x:is>
      </x:c>
      <x:c r="C216" s="9" t="inlineStr">
        <x:is>
          <x:t xml:space="preserve">Pelluhue 192</x:t>
        </x:is>
      </x:c>
      <x:c r="D216" s="9" t="inlineStr">
        <x:is>
          <x:t xml:space="preserve">Pelluhue</x:t>
        </x:is>
      </x:c>
      <x:c r="E216" s="9" t="inlineStr">
        <x:is>
          <x:t xml:space="preserve">Ciudad</x:t>
        </x:is>
      </x:c>
      <x:c r="F216" s="9" t="inlineStr">
        <x:is>
          <x:t xml:space="preserve">Sí</x:t>
        </x:is>
      </x:c>
      <x:c r="G216" s="9" t="inlineStr">
        <x:is>
          <x:t xml:space="preserve">STEEL_FRAME</x:t>
        </x:is>
      </x:c>
      <x:c r="H216" s="15" t="n">
        <x:v>192</x:v>
      </x:c>
      <x:c r="I216" s="9" t="n">
        <x:v>4</x:v>
      </x:c>
      <x:c r="J216" s="9" t="n">
        <x:v>3</x:v>
      </x:c>
      <x:c r="K216" s="9" t="n">
        <x:v>1</x:v>
      </x:c>
      <x:c r="L216" s="9" t="n">
        <x:v>4</x:v>
      </x:c>
      <x:c r="M216" s="12" t="n">
        <x:v>2.45</x:v>
      </x:c>
      <x:c r="N216" s="9" t="inlineStr">
        <x:is>
          <x:t xml:space="preserve">Panelizado steel frame industrializado</x:t>
        </x:is>
      </x:c>
      <x:c r="O216" s="10" t="inlineStr">
        <x:is>
          <x:t xml:space="preserve">Acero galvanizado + placa OSB/fibrocemento + cámara técnica</x:t>
        </x:is>
      </x:c>
      <x:c r="P216" s="15" t="n">
        <x:v>140</x:v>
      </x:c>
      <x:c r="Q216" s="9" t="inlineStr">
        <x:is>
          <x:t xml:space="preserve">Lana mineral o lana de roca / PET / EPS según zona térmica</x:t>
        </x:is>
      </x:c>
      <x:c r="R216" s="15" t="n">
        <x:v>80</x:v>
      </x:c>
      <x:c r="S216" s="10" t="inlineStr">
        <x:is>
          <x:t xml:space="preserve">Cerchas o paneles steel frame + cubierta metálica</x:t>
        </x:is>
      </x:c>
      <x:c r="T216" s="15" t="n">
        <x:v>150</x:v>
      </x:c>
      <x:c r="U216" s="10" t="inlineStr">
        <x:is>
          <x:t xml:space="preserve">Lana mineral / lana de roca + barrera de vapor</x:t>
        </x:is>
      </x:c>
      <x:c r="V216" s="9" t="inlineStr">
        <x:is>
          <x:t xml:space="preserve">Envigado metálico o plataforma estructural</x:t>
        </x:is>
      </x:c>
      <x:c r="W216" s="10" t="inlineStr">
        <x:is>
          <x:t xml:space="preserve">Lana mineral 50-100 mm + placas estructurales</x:t>
        </x:is>
      </x:c>
      <x:c r="X216" s="9" t="inlineStr">
        <x:is>
          <x:t xml:space="preserve">Aluminio RPT termopanel</x:t>
        </x:is>
      </x:c>
      <x:c r="Y216" s="9" t="inlineStr">
        <x:is>
          <x:t xml:space="preserve">Estuco sobre placa cementicia</x:t>
        </x:is>
      </x:c>
      <x:c r="Z216" s="9" t="inlineStr">
        <x:is>
          <x:t xml:space="preserve">Yeso cartón RF</x:t>
        </x:is>
      </x:c>
      <x:c r="AA216" s="9" t="inlineStr">
        <x:is>
          <x:t xml:space="preserve">Radier reforzado</x:t>
        </x:is>
      </x:c>
      <x:c r="AB216" s="15" t="n">
        <x:v>8</x:v>
      </x:c>
      <x:c r="AC216" s="15" t="n">
        <x:v>7</x:v>
      </x:c>
      <x:c r="AD216" s="9" t="inlineStr">
        <x:is>
          <x:t xml:space="preserve">Cabaña permanente</x:t>
        </x:is>
      </x:c>
      <x:c r="AE216" s="9" t="inlineStr">
        <x:is>
          <x:t xml:space="preserve">Austral frío</x:t>
        </x:is>
      </x:c>
      <x:c r="AF216" s="10" t="inlineStr">
        <x:is>
          <x:t xml:space="preserve">Criterio térmico referencial OGUC / reglamentación térmica vigente</x:t>
        </x:is>
      </x:c>
      <x:c r="AG216" s="10" t="inlineStr">
        <x:is>
          <x:t xml:space="preserve">https://www.steelframe.cl/ | https://vhaceros.cl/blog/steel-framing-principios-estructurales-y-ventajas-en-la-construccion-chilena/</x:t>
        </x:is>
      </x:c>
      <x:c r="AH216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(80 mm); cubierta Cerchas o paneles steel frame + cubierta metálica de 150 mm; ventanas Aluminio RPT termopanel; revestimiento exterior Plancha metálica; interior Yeso cartón; fundación sugerida Vigas de fundación y radier.</x:t>
        </x:is>
      </x:c>
    </x:row>
    <x:row r="217" ht="32" customHeight="1">
      <x:c r="A217" s="9" t="inlineStr">
        <x:is>
          <x:t xml:space="preserve">MOD-0216</x:t>
        </x:is>
      </x:c>
      <x:c r="B217" s="9" t="inlineStr">
        <x:is>
          <x:t xml:space="preserve">EMP-044</x:t>
        </x:is>
      </x:c>
      <x:c r="C217" s="9" t="inlineStr">
        <x:is>
          <x:t xml:space="preserve">Cobquecura 48</x:t>
        </x:is>
      </x:c>
      <x:c r="D217" s="9" t="inlineStr">
        <x:is>
          <x:t xml:space="preserve">Cobquecura</x:t>
        </x:is>
      </x:c>
      <x:c r="E217" s="9" t="inlineStr">
        <x:is>
          <x:t xml:space="preserve">Valle</x:t>
        </x:is>
      </x:c>
      <x:c r="F217" s="9" t="inlineStr">
        <x:is>
          <x:t xml:space="preserve">Sí</x:t>
        </x:is>
      </x:c>
      <x:c r="G217" s="9" t="inlineStr">
        <x:is>
          <x:t xml:space="preserve">CONTAINER</x:t>
        </x:is>
      </x:c>
      <x:c r="H217" s="15" t="n">
        <x:v>48</x:v>
      </x:c>
      <x:c r="I217" s="9" t="n">
        <x:v>2</x:v>
      </x:c>
      <x:c r="J217" s="9" t="n">
        <x:v>1</x:v>
      </x:c>
      <x:c r="K217" s="9" t="n">
        <x:v>1</x:v>
      </x:c>
      <x:c r="L217" s="9" t="n">
        <x:v>2</x:v>
      </x:c>
      <x:c r="M217" s="12" t="n">
        <x:v>2.4</x:v>
      </x:c>
      <x:c r="N217" s="9" t="inlineStr">
        <x:is>
          <x:t xml:space="preserve">Contenedor marítimo acondicionado</x:t>
        </x:is>
      </x:c>
      <x:c r="O217" s="10" t="inlineStr">
        <x:is>
          <x:t xml:space="preserve">Estructura container + subestructura interior + revestimiento</x:t>
        </x:is>
      </x:c>
      <x:c r="P217" s="15" t="n">
        <x:v>110</x:v>
      </x:c>
      <x:c r="Q217" s="9" t="inlineStr">
        <x:is>
          <x:t xml:space="preserve">Poliuretano proyectado o EPS/Aislapol 40-60 mm</x:t>
        </x:is>
      </x:c>
      <x:c r="R217" s="15" t="n">
        <x:v>60</x:v>
      </x:c>
      <x:c r="S217" s="10" t="inlineStr">
        <x:is>
          <x:t xml:space="preserve">Cubierta metálica container + sobretecho ventilado opcional</x:t>
        </x:is>
      </x:c>
      <x:c r="T217" s="15" t="n">
        <x:v>100</x:v>
      </x:c>
      <x:c r="U217" s="10" t="inlineStr">
        <x:is>
          <x:t xml:space="preserve">Poliuretano / EPS + barrera anticondensación</x:t>
        </x:is>
      </x:c>
      <x:c r="V217" s="9" t="inlineStr">
        <x:is>
          <x:t xml:space="preserve">Piso terciado 18 mm o base original acondicionada + vinílico</x:t>
        </x:is>
      </x:c>
      <x:c r="W217" s="10" t="inlineStr">
        <x:is>
          <x:t xml:space="preserve">Aislación bajo piso 40-80 mm</x:t>
        </x:is>
      </x:c>
      <x:c r="X217" s="9" t="inlineStr">
        <x:is>
          <x:t xml:space="preserve">PVC termopanel</x:t>
        </x:is>
      </x:c>
      <x:c r="Y217" s="9" t="inlineStr">
        <x:is>
          <x:t xml:space="preserve">Madera tratada ventilada</x:t>
        </x:is>
      </x:c>
      <x:c r="Z217" s="9" t="inlineStr">
        <x:is>
          <x:t xml:space="preserve">Yeso cartón</x:t>
        </x:is>
      </x:c>
      <x:c r="AA217" s="9" t="inlineStr">
        <x:is>
          <x:t xml:space="preserve">Radier</x:t>
        </x:is>
      </x:c>
      <x:c r="AB217" s="15" t="n">
        <x:v>3</x:v>
      </x:c>
      <x:c r="AC217" s="15" t="n">
        <x:v>5</x:v>
      </x:c>
      <x:c r="AD217" s="9" t="inlineStr">
        <x:is>
          <x:t xml:space="preserve">Oficina + vivienda</x:t>
        </x:is>
      </x:c>
      <x:c r="AE217" s="9" t="inlineStr">
        <x:is>
          <x:t xml:space="preserve">Austral frío</x:t>
        </x:is>
      </x:c>
      <x:c r="AF217" s="10" t="inlineStr">
        <x:is>
          <x:t xml:space="preserve">Criterios de aislación, ventilación y tratamiento anticorrosivo (referencial)</x:t>
        </x:is>
      </x:c>
      <x:c r="AG217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17" s="10" t="inlineStr">
        <x:is>
          <x:t xml:space="preserve">Estructura: Contenedor marítimo acondicionado; muros Estructura container + subestructura interior + revestimiento de 110 mm con aislación Poliuretano proyectado o EPS/Aislapol 40-60 mm (60 mm); cubierta Cubierta metálica container + sobretecho ventilado opcional de 100 mm; ventanas PVC termopanel; revestimiento exterior Acero galvanizado pintado; interior Yeso cartón; fundación sugerida Radier.</x:t>
        </x:is>
      </x:c>
    </x:row>
    <x:row r="218" ht="32" customHeight="1">
      <x:c r="A218" s="9" t="inlineStr">
        <x:is>
          <x:t xml:space="preserve">MOD-0217</x:t>
        </x:is>
      </x:c>
      <x:c r="B218" s="9" t="inlineStr">
        <x:is>
          <x:t xml:space="preserve">EMP-044</x:t>
        </x:is>
      </x:c>
      <x:c r="C218" s="9" t="inlineStr">
        <x:is>
          <x:t xml:space="preserve">Corral 72</x:t>
        </x:is>
      </x:c>
      <x:c r="D218" s="9" t="inlineStr">
        <x:is>
          <x:t xml:space="preserve">Corral</x:t>
        </x:is>
      </x:c>
      <x:c r="E218" s="9" t="inlineStr">
        <x:is>
          <x:t xml:space="preserve">Comuna</x:t>
        </x:is>
      </x:c>
      <x:c r="F218" s="9" t="inlineStr">
        <x:is>
          <x:t xml:space="preserve">Sí</x:t>
        </x:is>
      </x:c>
      <x:c r="G218" s="9" t="inlineStr">
        <x:is>
          <x:t xml:space="preserve">CONTAINER</x:t>
        </x:is>
      </x:c>
      <x:c r="H218" s="15" t="n">
        <x:v>72</x:v>
      </x:c>
      <x:c r="I218" s="9" t="n">
        <x:v>2</x:v>
      </x:c>
      <x:c r="J218" s="9" t="n">
        <x:v>2</x:v>
      </x:c>
      <x:c r="K218" s="9" t="n">
        <x:v>1</x:v>
      </x:c>
      <x:c r="L218" s="9" t="n">
        <x:v>2</x:v>
      </x:c>
      <x:c r="M218" s="12" t="n">
        <x:v>2.45</x:v>
      </x:c>
      <x:c r="N218" s="9" t="inlineStr">
        <x:is>
          <x:t xml:space="preserve">Módulo habitacional de acero galvanizado / corten</x:t>
        </x:is>
      </x:c>
      <x:c r="O218" s="10" t="inlineStr">
        <x:is>
          <x:t xml:space="preserve">Estructura container + subestructura interior + revestimiento</x:t>
        </x:is>
      </x:c>
      <x:c r="P218" s="15" t="n">
        <x:v>140</x:v>
      </x:c>
      <x:c r="Q218" s="9" t="inlineStr">
        <x:is>
          <x:t xml:space="preserve">Poliuretano proyectado o EPS/Aislapol 40-60 mm</x:t>
        </x:is>
      </x:c>
      <x:c r="R218" s="15" t="n">
        <x:v>50</x:v>
      </x:c>
      <x:c r="S218" s="10" t="inlineStr">
        <x:is>
          <x:t xml:space="preserve">Cubierta metálica container + sobretecho ventilado opcional</x:t>
        </x:is>
      </x:c>
      <x:c r="T218" s="15" t="n">
        <x:v>80</x:v>
      </x:c>
      <x:c r="U218" s="10" t="inlineStr">
        <x:is>
          <x:t xml:space="preserve">Poliuretano / EPS + barrera anticondensación</x:t>
        </x:is>
      </x:c>
      <x:c r="V218" s="9" t="inlineStr">
        <x:is>
          <x:t xml:space="preserve">Piso terciado 18 mm o base original acondicionada + vinílico</x:t>
        </x:is>
      </x:c>
      <x:c r="W218" s="10" t="inlineStr">
        <x:is>
          <x:t xml:space="preserve">Aislación bajo piso 40-80 mm</x:t>
        </x:is>
      </x:c>
      <x:c r="X218" s="9" t="inlineStr">
        <x:is>
          <x:t xml:space="preserve">Aluminio termopanel</x:t>
        </x:is>
      </x:c>
      <x:c r="Y218" s="9" t="inlineStr">
        <x:is>
          <x:t xml:space="preserve">Plancha metálica prepintada</x:t>
        </x:is>
      </x:c>
      <x:c r="Z218" s="9" t="inlineStr">
        <x:is>
          <x:t xml:space="preserve">Yeso cartón</x:t>
        </x:is>
      </x:c>
      <x:c r="AA218" s="9" t="inlineStr">
        <x:is>
          <x:t xml:space="preserve">Dados de hormigón</x:t>
        </x:is>
      </x:c>
      <x:c r="AB218" s="15" t="n">
        <x:v>5</x:v>
      </x:c>
      <x:c r="AC218" s="15" t="n">
        <x:v>2</x:v>
      </x:c>
      <x:c r="AD218" s="9" t="inlineStr">
        <x:is>
          <x:t xml:space="preserve">Turismo / arriendo</x:t>
        </x:is>
      </x:c>
      <x:c r="AE218" s="9" t="inlineStr">
        <x:is>
          <x:t xml:space="preserve">Austral frío</x:t>
        </x:is>
      </x:c>
      <x:c r="AF218" s="10" t="inlineStr">
        <x:is>
          <x:t xml:space="preserve">Criterios de aislación, ventilación y tratamiento anticorrosivo (referencial)</x:t>
        </x:is>
      </x:c>
      <x:c r="AG218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18" s="10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80 mm; ventanas PVC termopanel; revestimiento exterior Acero galvanizado pintado; interior Madera pintada; fundación sugerida Dados de hormigón.</x:t>
        </x:is>
      </x:c>
    </x:row>
    <x:row r="219" ht="32" customHeight="1">
      <x:c r="A219" s="9" t="inlineStr">
        <x:is>
          <x:t xml:space="preserve">MOD-0218</x:t>
        </x:is>
      </x:c>
      <x:c r="B219" s="9" t="inlineStr">
        <x:is>
          <x:t xml:space="preserve">EMP-044</x:t>
        </x:is>
      </x:c>
      <x:c r="C219" s="9" t="inlineStr">
        <x:is>
          <x:t xml:space="preserve">Niebla 112</x:t>
        </x:is>
      </x:c>
      <x:c r="D219" s="9" t="inlineStr">
        <x:is>
          <x:t xml:space="preserve">Niebla</x:t>
        </x:is>
      </x:c>
      <x:c r="E219" s="9" t="inlineStr">
        <x:is>
          <x:t xml:space="preserve">Valle</x:t>
        </x:is>
      </x:c>
      <x:c r="F219" s="9" t="inlineStr">
        <x:is>
          <x:t xml:space="preserve">Sí</x:t>
        </x:is>
      </x:c>
      <x:c r="G219" s="9" t="inlineStr">
        <x:is>
          <x:t xml:space="preserve">HYBRID_MODULAR</x:t>
        </x:is>
      </x:c>
      <x:c r="H219" s="15" t="n">
        <x:v>112</x:v>
      </x:c>
      <x:c r="I219" s="9" t="n">
        <x:v>3</x:v>
      </x:c>
      <x:c r="J219" s="9" t="n">
        <x:v>2</x:v>
      </x:c>
      <x:c r="K219" s="9" t="n">
        <x:v>1</x:v>
      </x:c>
      <x:c r="L219" s="9" t="n">
        <x:v>3</x:v>
      </x:c>
      <x:c r="M219" s="12" t="n">
        <x:v>2.4</x:v>
      </x:c>
      <x:c r="N219" s="9" t="inlineStr">
        <x:is>
          <x:t xml:space="preserve">Estructura híbrida acero-madera panelizada</x:t>
        </x:is>
      </x:c>
      <x:c r="O219" s="10" t="inlineStr">
        <x:is>
          <x:t xml:space="preserve">Acero galvanizado o madera laminada + panel SIP MgO/OSB</x:t>
        </x:is>
      </x:c>
      <x:c r="P219" s="15" t="n">
        <x:v>120</x:v>
      </x:c>
      <x:c r="Q219" s="9" t="inlineStr">
        <x:is>
          <x:t xml:space="preserve">Lana mineral 75-100 mm o EPS integrado</x:t>
        </x:is>
      </x:c>
      <x:c r="R219" s="15" t="n">
        <x:v>90</x:v>
      </x:c>
      <x:c r="S219" s="10" t="inlineStr">
        <x:is>
          <x:t xml:space="preserve">Módulo volumétrico con cubierta panelizada</x:t>
        </x:is>
      </x:c>
      <x:c r="T219" s="15" t="n">
        <x:v>180</x:v>
      </x:c>
      <x:c r="U219" s="10" t="inlineStr">
        <x:is>
          <x:t xml:space="preserve">Lana mineral / EPS / barrera vapor</x:t>
        </x:is>
      </x:c>
      <x:c r="V219" s="9" t="inlineStr">
        <x:is>
          <x:t xml:space="preserve">Bastidor metálico o madera laminada</x:t>
        </x:is>
      </x:c>
      <x:c r="W219" s="10" t="inlineStr">
        <x:is>
          <x:t xml:space="preserve">Lana mineral 80-100 mm + fibrocemento</x:t>
        </x:is>
      </x:c>
      <x:c r="X219" s="9" t="inlineStr">
        <x:is>
          <x:t xml:space="preserve">PVC termopanel</x:t>
        </x:is>
      </x:c>
      <x:c r="Y219" s="9" t="inlineStr">
        <x:is>
          <x:t xml:space="preserve">Fibrocemento tipo siding</x:t>
        </x:is>
      </x:c>
      <x:c r="Z219" s="9" t="inlineStr">
        <x:is>
          <x:t xml:space="preserve">Yeso cartón pintado</x:t>
        </x:is>
      </x:c>
      <x:c r="AA219" s="9" t="inlineStr">
        <x:is>
          <x:t xml:space="preserve">Pilotes ajustables</x:t>
        </x:is>
      </x:c>
      <x:c r="AB219" s="15" t="n">
        <x:v>6</x:v>
      </x:c>
      <x:c r="AC219" s="15" t="n">
        <x:v>5</x:v>
      </x:c>
      <x:c r="AD219" s="9" t="inlineStr">
        <x:is>
          <x:t xml:space="preserve">Turismo / arriendo</x:t>
        </x:is>
      </x:c>
      <x:c r="AE219" s="9" t="inlineStr">
        <x:is>
          <x:t xml:space="preserve">Austral frío</x:t>
        </x:is>
      </x:c>
      <x:c r="AF219" s="10" t="inlineStr">
        <x:is>
          <x:t xml:space="preserve">Criterios de prefabricación modular y coordinación BIM (referencial)</x:t>
        </x:is>
      </x:c>
      <x:c r="AG219" s="10" t="inlineStr">
        <x:is>
          <x:t xml:space="preserve">https://modul.cl/construccion-de-casas-prefabricadas-modulares/ | https://tecnofasthome.cl/casas-modulares/</x:t>
        </x:is>
      </x:c>
      <x:c r="AH219" s="10" t="inlineStr">
        <x:is>
          <x:t xml:space="preserve">Estructura: Módulos de acero + paneles SIP; muros Acero galvanizado o madera laminada + panel SIP MgO/OSB de 120 mm con aislación Lana mineral 75-100 mm o EPS integrado (90 mm); cubierta Módulo volumétrico con cubierta panelizada de 180 mm; ventanas Aluminio termopanel; revestimiento exterior Fibrocemento tipo siding; interior Yeso cartón pintado; fundación sugerida Pilotes ajustables.</x:t>
        </x:is>
      </x:c>
    </x:row>
    <x:row r="220" ht="32" customHeight="1">
      <x:c r="A220" s="9" t="inlineStr">
        <x:is>
          <x:t xml:space="preserve">MOD-0219</x:t>
        </x:is>
      </x:c>
      <x:c r="B220" s="9" t="inlineStr">
        <x:is>
          <x:t xml:space="preserve">EMP-044</x:t>
        </x:is>
      </x:c>
      <x:c r="C220" s="9" t="inlineStr">
        <x:is>
          <x:t xml:space="preserve">Lican Ray 156</x:t>
        </x:is>
      </x:c>
      <x:c r="D220" s="9" t="inlineStr">
        <x:is>
          <x:t xml:space="preserve">Lican Ray</x:t>
        </x:is>
      </x:c>
      <x:c r="E220" s="9" t="inlineStr">
        <x:is>
          <x:t xml:space="preserve">Valle</x:t>
        </x:is>
      </x:c>
      <x:c r="F220" s="9" t="inlineStr">
        <x:is>
          <x:t xml:space="preserve">Sí</x:t>
        </x:is>
      </x:c>
      <x:c r="G220" s="9" t="inlineStr">
        <x:is>
          <x:t xml:space="preserve">SIP</x:t>
        </x:is>
      </x:c>
      <x:c r="H220" s="15" t="n">
        <x:v>156</x:v>
      </x:c>
      <x:c r="I220" s="9" t="n">
        <x:v>4</x:v>
      </x:c>
      <x:c r="J220" s="9" t="n">
        <x:v>3</x:v>
      </x:c>
      <x:c r="K220" s="9" t="n">
        <x:v>1</x:v>
      </x:c>
      <x:c r="L220" s="9" t="n">
        <x:v>4</x:v>
      </x:c>
      <x:c r="M220" s="12" t="n">
        <x:v>2.45</x:v>
      </x:c>
      <x:c r="N220" s="9" t="inlineStr">
        <x:is>
          <x:t xml:space="preserve">Panel SIP estructural con uniones en pino seco</x:t>
        </x:is>
      </x:c>
      <x:c r="O220" s="10" t="inlineStr">
        <x:is>
          <x:t xml:space="preserve">2 placas OSB estructural + núcleo EPS alta densidad</x:t>
        </x:is>
      </x:c>
      <x:c r="P220" s="15" t="n">
        <x:v>75</x:v>
      </x:c>
      <x:c r="Q220" s="9" t="inlineStr">
        <x:is>
          <x:t xml:space="preserve">EPS alta densidad 15 kg/m³</x:t>
        </x:is>
      </x:c>
      <x:c r="R220" s="15" t="n">
        <x:v>105</x:v>
      </x:c>
      <x:c r="S220" s="10" t="inlineStr">
        <x:is>
          <x:t xml:space="preserve">Panel SIP de cubierta + membrana hidrófuga + hojalatería</x:t>
        </x:is>
      </x:c>
      <x:c r="T220" s="15" t="n">
        <x:v>130</x:v>
      </x:c>
      <x:c r="U220" s="10" t="inlineStr">
        <x:is>
          <x:t xml:space="preserve">EPS integrado + sellos PU</x:t>
        </x:is>
      </x:c>
      <x:c r="V220" s="9" t="inlineStr">
        <x:is>
          <x:t xml:space="preserve">Base entramado madera o radier con barrera de humedad</x:t>
        </x:is>
      </x:c>
      <x:c r="W220" s="10" t="inlineStr">
        <x:is>
          <x:t xml:space="preserve">Aislación bajo piso PET o lana mineral 50-100 mm</x:t>
        </x:is>
      </x:c>
      <x:c r="X220" s="9" t="inlineStr">
        <x:is>
          <x:t xml:space="preserve">PVC termopanel</x:t>
        </x:is>
      </x:c>
      <x:c r="Y220" s="9" t="inlineStr">
        <x:is>
          <x:t xml:space="preserve">Smart Panel</x:t>
        </x:is>
      </x:c>
      <x:c r="Z220" s="9" t="inlineStr">
        <x:is>
          <x:t xml:space="preserve">Yeso cartón pintado</x:t>
        </x:is>
      </x:c>
      <x:c r="AA220" s="9" t="inlineStr">
        <x:is>
          <x:t xml:space="preserve">Sobrecimientos y radier</x:t>
        </x:is>
      </x:c>
      <x:c r="AB220" s="15" t="n">
        <x:v>7</x:v>
      </x:c>
      <x:c r="AC220" s="15" t="n">
        <x:v>9</x:v>
      </x:c>
      <x:c r="AD220" s="9" t="inlineStr">
        <x:is>
          <x:t xml:space="preserve">Loteo habitacional</x:t>
        </x:is>
      </x:c>
      <x:c r="AE220" s="9" t="inlineStr">
        <x:is>
          <x:t xml:space="preserve">Austral frío</x:t>
        </x:is>
      </x:c>
      <x:c r="AF220" s="10" t="inlineStr">
        <x:is>
          <x:t xml:space="preserve">NCh3393:2016 (referencial para paneles SIP)</x:t>
        </x:is>
      </x:c>
      <x:c r="AG220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0" s="10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130 mm; ventanas PVC DVH; revestimiento exterior Madera tratada; interior Yeso cartón RH en zonas húmedas; fundación sugerida Pilotes metálicos.</x:t>
        </x:is>
      </x:c>
    </x:row>
    <x:row r="221" ht="32" customHeight="1">
      <x:c r="A221" s="9" t="inlineStr">
        <x:is>
          <x:t xml:space="preserve">MOD-0220</x:t>
        </x:is>
      </x:c>
      <x:c r="B221" s="9" t="inlineStr">
        <x:is>
          <x:t xml:space="preserve">EMP-044</x:t>
        </x:is>
      </x:c>
      <x:c r="C221" s="9" t="inlineStr">
        <x:is>
          <x:t xml:space="preserve">Coñaripe 210</x:t>
        </x:is>
      </x:c>
      <x:c r="D221" s="9" t="inlineStr">
        <x:is>
          <x:t xml:space="preserve">Coñaripe</x:t>
        </x:is>
      </x:c>
      <x:c r="E221" s="9" t="inlineStr">
        <x:is>
          <x:t xml:space="preserve">Río</x:t>
        </x:is>
      </x:c>
      <x:c r="F221" s="9" t="inlineStr">
        <x:is>
          <x:t xml:space="preserve">Sí</x:t>
        </x:is>
      </x:c>
      <x:c r="G221" s="9" t="inlineStr">
        <x:is>
          <x:t xml:space="preserve">STEEL_FRAME</x:t>
        </x:is>
      </x:c>
      <x:c r="H221" s="15" t="n">
        <x:v>210</x:v>
      </x:c>
      <x:c r="I221" s="9" t="n">
        <x:v>4</x:v>
      </x:c>
      <x:c r="J221" s="9" t="n">
        <x:v>3</x:v>
      </x:c>
      <x:c r="K221" s="9" t="n">
        <x:v>1</x:v>
      </x:c>
      <x:c r="L221" s="9" t="n">
        <x:v>4</x:v>
      </x:c>
      <x:c r="M221" s="12" t="n">
        <x:v>2.4</x:v>
      </x:c>
      <x:c r="N221" s="9" t="inlineStr">
        <x:is>
          <x:t xml:space="preserve">Panelizado steel frame industrializado</x:t>
        </x:is>
      </x:c>
      <x:c r="O221" s="10" t="inlineStr">
        <x:is>
          <x:t xml:space="preserve">Acero galvanizado + placa OSB/fibrocemento + cámara técnica</x:t>
        </x:is>
      </x:c>
      <x:c r="P221" s="15" t="n">
        <x:v>140</x:v>
      </x:c>
      <x:c r="Q221" s="9" t="inlineStr">
        <x:is>
          <x:t xml:space="preserve">Lana mineral o lana de roca / PET / EPS según zona térmica</x:t>
        </x:is>
      </x:c>
      <x:c r="R221" s="15" t="n">
        <x:v>100</x:v>
      </x:c>
      <x:c r="S221" s="10" t="inlineStr">
        <x:is>
          <x:t xml:space="preserve">Cerchas o paneles steel frame + cubierta metálica</x:t>
        </x:is>
      </x:c>
      <x:c r="T221" s="15" t="n">
        <x:v>180</x:v>
      </x:c>
      <x:c r="U221" s="10" t="inlineStr">
        <x:is>
          <x:t xml:space="preserve">Lana mineral / lana de roca + barrera de vapor</x:t>
        </x:is>
      </x:c>
      <x:c r="V221" s="9" t="inlineStr">
        <x:is>
          <x:t xml:space="preserve">Envigado metálico o plataforma estructural</x:t>
        </x:is>
      </x:c>
      <x:c r="W221" s="10" t="inlineStr">
        <x:is>
          <x:t xml:space="preserve">Lana mineral 50-100 mm + placas estructurales</x:t>
        </x:is>
      </x:c>
      <x:c r="X221" s="9" t="inlineStr">
        <x:is>
          <x:t xml:space="preserve">PVC termopanel</x:t>
        </x:is>
      </x:c>
      <x:c r="Y221" s="9" t="inlineStr">
        <x:is>
          <x:t xml:space="preserve">Plancha metálica</x:t>
        </x:is>
      </x:c>
      <x:c r="Z221" s="9" t="inlineStr">
        <x:is>
          <x:t xml:space="preserve">Yeso cartón RF</x:t>
        </x:is>
      </x:c>
      <x:c r="AA221" s="9" t="inlineStr">
        <x:is>
          <x:t xml:space="preserve">Vigas de fundación y radier</x:t>
        </x:is>
      </x:c>
      <x:c r="AB221" s="15" t="n">
        <x:v>5</x:v>
      </x:c>
      <x:c r="AC221" s="15" t="n">
        <x:v>13</x:v>
      </x:c>
      <x:c r="AD221" s="9" t="inlineStr">
        <x:is>
          <x:t xml:space="preserve">Cabaña permanente</x:t>
        </x:is>
      </x:c>
      <x:c r="AE221" s="9" t="inlineStr">
        <x:is>
          <x:t xml:space="preserve">Austral frío</x:t>
        </x:is>
      </x:c>
      <x:c r="AF221" s="10" t="inlineStr">
        <x:is>
          <x:t xml:space="preserve">Criterio térmico referencial OGUC / reglamentación térmica vigente</x:t>
        </x:is>
      </x:c>
      <x:c r="AG221" s="10" t="inlineStr">
        <x:is>
          <x:t xml:space="preserve">https://www.steelframe.cl/ | https://vhaceros.cl/blog/steel-framing-principios-estructurales-y-ventajas-en-la-construccion-chilena/</x:t>
        </x:is>
      </x:c>
      <x:c r="AH221" s="10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180 mm; ventanas Aluminio RPT termopanel; revestimiento exterior Plancha metálica; interior MDF pintado; fundación sugerida Radier reforzado.</x:t>
        </x:is>
      </x:c>
    </x:row>
    <x:row r="222" ht="32" customHeight="1">
      <x:c r="A222" s="9" t="inlineStr">
        <x:is>
          <x:t xml:space="preserve">MOD-0221</x:t>
        </x:is>
      </x:c>
      <x:c r="B222" s="9" t="inlineStr">
        <x:is>
          <x:t xml:space="preserve">EMP-045</x:t>
        </x:is>
      </x:c>
      <x:c r="C222" s="9" t="inlineStr">
        <x:is>
          <x:t xml:space="preserve">Dalcahue 48</x:t>
        </x:is>
      </x:c>
      <x:c r="D222" s="9" t="inlineStr">
        <x:is>
          <x:t xml:space="preserve">Dalcahue</x:t>
        </x:is>
      </x:c>
      <x:c r="E222" s="9" t="inlineStr">
        <x:is>
          <x:t xml:space="preserve">Lago</x:t>
        </x:is>
      </x:c>
      <x:c r="F222" s="9" t="inlineStr">
        <x:is>
          <x:t xml:space="preserve">Sí</x:t>
        </x:is>
      </x:c>
      <x:c r="G222" s="9" t="inlineStr">
        <x:is>
          <x:t xml:space="preserve">STEEL_FRAME</x:t>
        </x:is>
      </x:c>
      <x:c r="H222" s="15" t="n">
        <x:v>48</x:v>
      </x:c>
      <x:c r="I222" s="9" t="n">
        <x:v>2</x:v>
      </x:c>
      <x:c r="J222" s="9" t="n">
        <x:v>1</x:v>
      </x:c>
      <x:c r="K222" s="9" t="n">
        <x:v>1</x:v>
      </x:c>
      <x:c r="L222" s="9" t="n">
        <x:v>2</x:v>
      </x:c>
      <x:c r="M222" s="12" t="n">
        <x:v>2.5</x:v>
      </x:c>
      <x:c r="N222" s="9" t="inlineStr">
        <x:is>
          <x:t xml:space="preserve">Panelizado steel frame industrializado</x:t>
        </x:is>
      </x:c>
      <x:c r="O222" s="10" t="inlineStr">
        <x:is>
          <x:t xml:space="preserve">Acero galvanizado + placa OSB/fibrocemento + cámara técnica</x:t>
        </x:is>
      </x:c>
      <x:c r="P222" s="15" t="n">
        <x:v>110</x:v>
      </x:c>
      <x:c r="Q222" s="9" t="inlineStr">
        <x:is>
          <x:t xml:space="preserve">Lana mineral o lana de roca / PET / EPS según zona térmica</x:t>
        </x:is>
      </x:c>
      <x:c r="R222" s="15" t="n">
        <x:v>90</x:v>
      </x:c>
      <x:c r="S222" s="10" t="inlineStr">
        <x:is>
          <x:t xml:space="preserve">Cerchas o paneles steel frame + cubierta metálica</x:t>
        </x:is>
      </x:c>
      <x:c r="T222" s="15" t="n">
        <x:v>120</x:v>
      </x:c>
      <x:c r="U222" s="10" t="inlineStr">
        <x:is>
          <x:t xml:space="preserve">Lana mineral / lana de roca + barrera de vapor</x:t>
        </x:is>
      </x:c>
      <x:c r="V222" s="9" t="inlineStr">
        <x:is>
          <x:t xml:space="preserve">Envigado metálico o plataforma estructural</x:t>
        </x:is>
      </x:c>
      <x:c r="W222" s="10" t="inlineStr">
        <x:is>
          <x:t xml:space="preserve">Lana mineral 50-100 mm + placas estructurales</x:t>
        </x:is>
      </x:c>
      <x:c r="X222" s="9" t="inlineStr">
        <x:is>
          <x:t xml:space="preserve">Aluminio RPT termopanel</x:t>
        </x:is>
      </x:c>
      <x:c r="Y222" s="9" t="inlineStr">
        <x:is>
          <x:t xml:space="preserve">Plancha metálica</x:t>
        </x:is>
      </x:c>
      <x:c r="Z222" s="9" t="inlineStr">
        <x:is>
          <x:t xml:space="preserve">Yeso cartón RF</x:t>
        </x:is>
      </x:c>
      <x:c r="AA222" s="9" t="inlineStr">
        <x:is>
          <x:t xml:space="preserve">Pilotes</x:t>
        </x:is>
      </x:c>
      <x:c r="AB222" s="15" t="n">
        <x:v>6</x:v>
      </x:c>
      <x:c r="AC222" s="15" t="n">
        <x:v>13</x:v>
      </x:c>
      <x:c r="AD222" s="9" t="inlineStr">
        <x:is>
          <x:t xml:space="preserve">Segunda vivienda</x:t>
        </x:is>
      </x:c>
      <x:c r="AE222" s="9" t="inlineStr">
        <x:is>
          <x:t xml:space="preserve">Austral frío</x:t>
        </x:is>
      </x:c>
      <x:c r="AF222" s="10" t="inlineStr">
        <x:is>
          <x:t xml:space="preserve">Criterio térmico referencial OGUC / reglamentación térmica vigente</x:t>
        </x:is>
      </x:c>
      <x:c r="AG222" s="10" t="inlineStr">
        <x:is>
          <x:t xml:space="preserve">https://www.steelframe.cl/ | https://vhaceros.cl/blog/steel-framing-principios-estructurales-y-ventajas-en-la-construccion-chilena/</x:t>
        </x:is>
      </x:c>
      <x:c r="AH222" s="10" t="inlineStr">
        <x:is>
          <x:t xml:space="preserve">Estructura: Panelizado steel frame industrializado; muros Acero galvanizado + placa OSB/fibrocemento + cámara técnica de 110 mm con aislación Lana mineral o lana de roca / PET / EPS según zona térmica (90 mm); cubierta Cerchas o paneles steel frame + cubierta metálica de 120 mm; ventanas Aluminio RPT termopanel; revestimiento exterior Siding fibrocemento; interior Yeso cartón RF; fundación sugerida Pilotes.</x:t>
        </x:is>
      </x:c>
    </x:row>
    <x:row r="223" ht="32" customHeight="1">
      <x:c r="A223" s="9" t="inlineStr">
        <x:is>
          <x:t xml:space="preserve">MOD-0222</x:t>
        </x:is>
      </x:c>
      <x:c r="B223" s="9" t="inlineStr">
        <x:is>
          <x:t xml:space="preserve">EMP-045</x:t>
        </x:is>
      </x:c>
      <x:c r="C223" s="9" t="inlineStr">
        <x:is>
          <x:t xml:space="preserve">Quellón 104</x:t>
        </x:is>
      </x:c>
      <x:c r="D223" s="9" t="inlineStr">
        <x:is>
          <x:t xml:space="preserve">Quellón</x:t>
        </x:is>
      </x:c>
      <x:c r="E223" s="9" t="inlineStr">
        <x:is>
          <x:t xml:space="preserve">Lago</x:t>
        </x:is>
      </x:c>
      <x:c r="F223" s="9" t="inlineStr">
        <x:is>
          <x:t xml:space="preserve">Sí</x:t>
        </x:is>
      </x:c>
      <x:c r="G223" s="9" t="inlineStr">
        <x:is>
          <x:t xml:space="preserve">STEEL_FRAME</x:t>
        </x:is>
      </x:c>
      <x:c r="H223" s="15" t="n">
        <x:v>104</x:v>
      </x:c>
      <x:c r="I223" s="9" t="n">
        <x:v>3</x:v>
      </x:c>
      <x:c r="J223" s="9" t="n">
        <x:v>2</x:v>
      </x:c>
      <x:c r="K223" s="9" t="n">
        <x:v>1</x:v>
      </x:c>
      <x:c r="L223" s="9" t="n">
        <x:v>3</x:v>
      </x:c>
      <x:c r="M223" s="12" t="n">
        <x:v>2.5</x:v>
      </x:c>
      <x:c r="N223" s="9" t="inlineStr">
        <x:is>
          <x:t xml:space="preserve">Perfilería de acero galvanizado liviano</x:t>
        </x:is>
      </x:c>
      <x:c r="O223" s="10" t="inlineStr">
        <x:is>
          <x:t xml:space="preserve">Acero galvanizado + placa OSB/fibrocemento + cámara técnica</x:t>
        </x:is>
      </x:c>
      <x:c r="P223" s="15" t="n">
        <x:v>110</x:v>
      </x:c>
      <x:c r="Q223" s="9" t="inlineStr">
        <x:is>
          <x:t xml:space="preserve">Lana mineral o lana de roca / PET / EPS según zona térmica</x:t>
        </x:is>
      </x:c>
      <x:c r="R223" s="15" t="n">
        <x:v>80</x:v>
      </x:c>
      <x:c r="S223" s="10" t="inlineStr">
        <x:is>
          <x:t xml:space="preserve">Cerchas o paneles steel frame + cubierta metálica</x:t>
        </x:is>
      </x:c>
      <x:c r="T223" s="15" t="n">
        <x:v>120</x:v>
      </x:c>
      <x:c r="U223" s="10" t="inlineStr">
        <x:is>
          <x:t xml:space="preserve">Lana mineral / lana de roca + barrera de vapor</x:t>
        </x:is>
      </x:c>
      <x:c r="V223" s="9" t="inlineStr">
        <x:is>
          <x:t xml:space="preserve">Envigado metálico o plataforma estructural</x:t>
        </x:is>
      </x:c>
      <x:c r="W223" s="10" t="inlineStr">
        <x:is>
          <x:t xml:space="preserve">Lana mineral 50-100 mm + placas estructurales</x:t>
        </x:is>
      </x:c>
      <x:c r="X223" s="9" t="inlineStr">
        <x:is>
          <x:t xml:space="preserve">PVC termopanel</x:t>
        </x:is>
      </x:c>
      <x:c r="Y223" s="9" t="inlineStr">
        <x:is>
          <x:t xml:space="preserve">Plancha metálica</x:t>
        </x:is>
      </x:c>
      <x:c r="Z223" s="9" t="inlineStr">
        <x:is>
          <x:t xml:space="preserve">Yeso cartón RF</x:t>
        </x:is>
      </x:c>
      <x:c r="AA223" s="9" t="inlineStr">
        <x:is>
          <x:t xml:space="preserve">Radier reforzado</x:t>
        </x:is>
      </x:c>
      <x:c r="AB223" s="15" t="n">
        <x:v>6</x:v>
      </x:c>
      <x:c r="AC223" s="15" t="n">
        <x:v>9</x:v>
      </x:c>
      <x:c r="AD223" s="9" t="inlineStr">
        <x:is>
          <x:t xml:space="preserve">Cabaña permanente</x:t>
        </x:is>
      </x:c>
      <x:c r="AE223" s="9" t="inlineStr">
        <x:is>
          <x:t xml:space="preserve">Austral frío</x:t>
        </x:is>
      </x:c>
      <x:c r="AF223" s="10" t="inlineStr">
        <x:is>
          <x:t xml:space="preserve">Criterio térmico referencial OGUC / reglamentación térmica vigente</x:t>
        </x:is>
      </x:c>
      <x:c r="AG223" s="10" t="inlineStr">
        <x:is>
          <x:t xml:space="preserve">https://www.steelframe.cl/ | https://vhaceros.cl/blog/steel-framing-principios-estructurales-y-ventajas-en-la-construccion-chilena/</x:t>
        </x:is>
      </x:c>
      <x:c r="AH223" s="10" t="inlineStr">
        <x:is>
          <x:t xml:space="preserve">Estructura: Panelizado steel frame industrializado; muros Acero galvanizado + placa OSB/fibrocemento + cámara técnica de 110 mm con aislación Lana mineral o lana de roca / PET / EPS según zona térmica (80 mm); cubierta Cerchas o paneles steel frame + cubierta metálica de 120 mm; ventanas Aluminio RPT termopanel; revestimiento exterior Siding fibrocemento; interior Yeso cartón; fundación sugerida Vigas de fundación y radier.</x:t>
        </x:is>
      </x:c>
    </x:row>
    <x:row r="224" ht="32" customHeight="1">
      <x:c r="A224" s="9" t="inlineStr">
        <x:is>
          <x:t xml:space="preserve">MOD-0223</x:t>
        </x:is>
      </x:c>
      <x:c r="B224" s="9" t="inlineStr">
        <x:is>
          <x:t xml:space="preserve">EMP-045</x:t>
        </x:is>
      </x:c>
      <x:c r="C224" s="9" t="inlineStr">
        <x:is>
          <x:t xml:space="preserve">Porvenir 112</x:t>
        </x:is>
      </x:c>
      <x:c r="D224" s="9" t="inlineStr">
        <x:is>
          <x:t xml:space="preserve">Porvenir</x:t>
        </x:is>
      </x:c>
      <x:c r="E224" s="9" t="inlineStr">
        <x:is>
          <x:t xml:space="preserve">Lago</x:t>
        </x:is>
      </x:c>
      <x:c r="F224" s="9" t="inlineStr">
        <x:is>
          <x:t xml:space="preserve">Sí</x:t>
        </x:is>
      </x:c>
      <x:c r="G224" s="9" t="inlineStr">
        <x:is>
          <x:t xml:space="preserve">SIP</x:t>
        </x:is>
      </x:c>
      <x:c r="H224" s="15" t="n">
        <x:v>112</x:v>
      </x:c>
      <x:c r="I224" s="9" t="n">
        <x:v>3</x:v>
      </x:c>
      <x:c r="J224" s="9" t="n">
        <x:v>2</x:v>
      </x:c>
      <x:c r="K224" s="9" t="n">
        <x:v>1</x:v>
      </x:c>
      <x:c r="L224" s="9" t="n">
        <x:v>3</x:v>
      </x:c>
      <x:c r="M224" s="12" t="n">
        <x:v>2.45</x:v>
      </x:c>
      <x:c r="N224" s="9" t="inlineStr">
        <x:is>
          <x:t xml:space="preserve">Panel SIP estructural con uniones en pino seco</x:t>
        </x:is>
      </x:c>
      <x:c r="O224" s="10" t="inlineStr">
        <x:is>
          <x:t xml:space="preserve">2 placas OSB estructural + núcleo EPS alta densidad</x:t>
        </x:is>
      </x:c>
      <x:c r="P224" s="15" t="n">
        <x:v>114</x:v>
      </x:c>
      <x:c r="Q224" s="9" t="inlineStr">
        <x:is>
          <x:t xml:space="preserve">EPS alta densidad 15 kg/m³</x:t>
        </x:is>
      </x:c>
      <x:c r="R224" s="15" t="n">
        <x:v>105</x:v>
      </x:c>
      <x:c r="S224" s="10" t="inlineStr">
        <x:is>
          <x:t xml:space="preserve">Panel SIP de cubierta + membrana hidrófuga + hojalatería</x:t>
        </x:is>
      </x:c>
      <x:c r="T224" s="15" t="n">
        <x:v>130</x:v>
      </x:c>
      <x:c r="U224" s="10" t="inlineStr">
        <x:is>
          <x:t xml:space="preserve">EPS integrado + sellos PU</x:t>
        </x:is>
      </x:c>
      <x:c r="V224" s="9" t="inlineStr">
        <x:is>
          <x:t xml:space="preserve">Base entramado madera o radier con barrera de humedad</x:t>
        </x:is>
      </x:c>
      <x:c r="W224" s="10" t="inlineStr">
        <x:is>
          <x:t xml:space="preserve">Aislación bajo piso PET o lana mineral 50-100 mm</x:t>
        </x:is>
      </x:c>
      <x:c r="X224" s="9" t="inlineStr">
        <x:is>
          <x:t xml:space="preserve">PVC DVH</x:t>
        </x:is>
      </x:c>
      <x:c r="Y224" s="9" t="inlineStr">
        <x:is>
          <x:t xml:space="preserve">Siding fibrocemento</x:t>
        </x:is>
      </x:c>
      <x:c r="Z224" s="9" t="inlineStr">
        <x:is>
          <x:t xml:space="preserve">Yeso cartón RH en zonas húmedas</x:t>
        </x:is>
      </x:c>
      <x:c r="AA224" s="9" t="inlineStr">
        <x:is>
          <x:t xml:space="preserve">Fundación corrida</x:t>
        </x:is>
      </x:c>
      <x:c r="AB224" s="15" t="n">
        <x:v>5</x:v>
      </x:c>
      <x:c r="AC224" s="15" t="n">
        <x:v>12</x:v>
      </x:c>
      <x:c r="AD224" s="9" t="inlineStr">
        <x:is>
          <x:t xml:space="preserve">Parcela</x:t>
        </x:is>
      </x:c>
      <x:c r="AE224" s="9" t="inlineStr">
        <x:is>
          <x:t xml:space="preserve">Austral frío</x:t>
        </x:is>
      </x:c>
      <x:c r="AF224" s="10" t="inlineStr">
        <x:is>
          <x:t xml:space="preserve">NCh3393:2016 (referencial para paneles SIP)</x:t>
        </x:is>
      </x:c>
      <x:c r="AG22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4" s="10" t="inlineStr">
        <x:is>
          <x:t xml:space="preserve">Estructura: Panel SIP estructural OSB/EPS/OSB; muros 2 placas OSB estructural + núcleo EPS alta densidad de 114 mm con aislación EPS alta densidad 15 kg/m³ (105 mm); cubierta Panel SIP de cubierta + membrana hidrófuga + hojalatería de 130 mm; ventanas Aluminio con termopanel; revestimiento exterior Siding fibrocemento; interior OSB sellado y pintado; fundación sugerida Radier afinado.</x:t>
        </x:is>
      </x:c>
    </x:row>
    <x:row r="225" ht="32" customHeight="1">
      <x:c r="A225" s="9" t="inlineStr">
        <x:is>
          <x:t xml:space="preserve">MOD-0224</x:t>
        </x:is>
      </x:c>
      <x:c r="B225" s="9" t="inlineStr">
        <x:is>
          <x:t xml:space="preserve">EMP-045</x:t>
        </x:is>
      </x:c>
      <x:c r="C225" s="9" t="inlineStr">
        <x:is>
          <x:t xml:space="preserve">Timaukel 144</x:t>
        </x:is>
      </x:c>
      <x:c r="D225" s="9" t="inlineStr">
        <x:is>
          <x:t xml:space="preserve">Timaukel</x:t>
        </x:is>
      </x:c>
      <x:c r="E225" s="9" t="inlineStr">
        <x:is>
          <x:t xml:space="preserve">Archipiélago</x:t>
        </x:is>
      </x:c>
      <x:c r="F225" s="9" t="inlineStr">
        <x:is>
          <x:t xml:space="preserve">Sí</x:t>
        </x:is>
      </x:c>
      <x:c r="G225" s="9" t="inlineStr">
        <x:is>
          <x:t xml:space="preserve">MODULAR_TIMBER</x:t>
        </x:is>
      </x:c>
      <x:c r="H225" s="15" t="n">
        <x:v>144</x:v>
      </x:c>
      <x:c r="I225" s="9" t="n">
        <x:v>4</x:v>
      </x:c>
      <x:c r="J225" s="9" t="n">
        <x:v>3</x:v>
      </x:c>
      <x:c r="K225" s="9" t="n">
        <x:v>2</x:v>
      </x:c>
      <x:c r="L225" s="9" t="n">
        <x:v>4</x:v>
      </x:c>
      <x:c r="M225" s="12" t="n">
        <x:v>2.4</x:v>
      </x:c>
      <x:c r="N225" s="9" t="inlineStr">
        <x:is>
          <x:t xml:space="preserve">Wood frame modular</x:t>
        </x:is>
      </x:c>
      <x:c r="O225" s="10" t="inlineStr">
        <x:is>
          <x:t xml:space="preserve">Madera estructural + OSB / terciado + barrera hidrófuga</x:t>
        </x:is>
      </x:c>
      <x:c r="P225" s="15" t="n">
        <x:v>120</x:v>
      </x:c>
      <x:c r="Q225" s="9" t="inlineStr">
        <x:is>
          <x:t xml:space="preserve">Lana mineral / lana de vidrio / PET reciclado</x:t>
        </x:is>
      </x:c>
      <x:c r="R225" s="15" t="n">
        <x:v>90</x:v>
      </x:c>
      <x:c r="S225" s="10" t="inlineStr">
        <x:is>
          <x:t xml:space="preserve">Cercha de madera + cubierta metálica o tejuela asfáltica</x:t>
        </x:is>
      </x:c>
      <x:c r="T225" s="15" t="n">
        <x:v>120</x:v>
      </x:c>
      <x:c r="U225" s="10" t="inlineStr">
        <x:is>
          <x:t xml:space="preserve">Lana mineral 80-140 mm + membrana</x:t>
        </x:is>
      </x:c>
      <x:c r="V225" s="9" t="inlineStr">
        <x:is>
          <x:t xml:space="preserve">Plataforma de madera estructural o radier</x:t>
        </x:is>
      </x:c>
      <x:c r="W225" s="10" t="inlineStr">
        <x:is>
          <x:t xml:space="preserve">Lana mineral 50-100 mm / barrera humedad</x:t>
        </x:is>
      </x:c>
      <x:c r="X225" s="9" t="inlineStr">
        <x:is>
          <x:t xml:space="preserve">Aluminio termopanel</x:t>
        </x:is>
      </x:c>
      <x:c r="Y225" s="9" t="inlineStr">
        <x:is>
          <x:t xml:space="preserve">Siding fibrocemento</x:t>
        </x:is>
      </x:c>
      <x:c r="Z225" s="9" t="inlineStr">
        <x:is>
          <x:t xml:space="preserve">Terciado pintado</x:t>
        </x:is>
      </x:c>
      <x:c r="AA225" s="9" t="inlineStr">
        <x:is>
          <x:t xml:space="preserve">Radier</x:t>
        </x:is>
      </x:c>
      <x:c r="AB225" s="15" t="n">
        <x:v>7</x:v>
      </x:c>
      <x:c r="AC225" s="15" t="n">
        <x:v>8</x:v>
      </x:c>
      <x:c r="AD225" s="9" t="inlineStr">
        <x:is>
          <x:t xml:space="preserve">Loteo habitacional</x:t>
        </x:is>
      </x:c>
      <x:c r="AE225" s="9" t="inlineStr">
        <x:is>
          <x:t xml:space="preserve">Austral frío</x:t>
        </x:is>
      </x:c>
      <x:c r="AF225" s="10" t="inlineStr">
        <x:is>
          <x:t xml:space="preserve">Especificaciones técnicas de vivienda industrializada en madera (referencial)</x:t>
        </x:is>
      </x:c>
      <x:c r="AG225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25" s="10" t="inlineStr">
        <x:is>
          <x:t xml:space="preserve">Estructura: Wood frame modular; muros Madera estructural + OSB / terciado + barrera hidrófuga de 120 mm con aislación Lana mineral / lana de vidrio / PET reciclado (90 mm); cubierta Cercha de madera + cubierta metálica o tejuela asfáltica de 120 mm; ventanas PVC termopanel; revestimiento exterior Madera tratada; interior Terciado pintado; fundación sugerida Radier.</x:t>
        </x:is>
      </x:c>
    </x:row>
    <x:row r="226" ht="32" customHeight="1">
      <x:c r="A226" s="9" t="inlineStr">
        <x:is>
          <x:t xml:space="preserve">MOD-0225</x:t>
        </x:is>
      </x:c>
      <x:c r="B226" s="9" t="inlineStr">
        <x:is>
          <x:t xml:space="preserve">EMP-045</x:t>
        </x:is>
      </x:c>
      <x:c r="C226" s="9" t="inlineStr">
        <x:is>
          <x:t xml:space="preserve">Punta Arenas 210</x:t>
        </x:is>
      </x:c>
      <x:c r="D226" s="9" t="inlineStr">
        <x:is>
          <x:t xml:space="preserve">Punta Arenas</x:t>
        </x:is>
      </x:c>
      <x:c r="E226" s="9" t="inlineStr">
        <x:is>
          <x:t xml:space="preserve">Archipiélago</x:t>
        </x:is>
      </x:c>
      <x:c r="F226" s="9" t="inlineStr">
        <x:is>
          <x:t xml:space="preserve">Sí</x:t>
        </x:is>
      </x:c>
      <x:c r="G226" s="9" t="inlineStr">
        <x:is>
          <x:t xml:space="preserve">HYBRID_MODULAR</x:t>
        </x:is>
      </x:c>
      <x:c r="H226" s="15" t="n">
        <x:v>210</x:v>
      </x:c>
      <x:c r="I226" s="9" t="n">
        <x:v>4</x:v>
      </x:c>
      <x:c r="J226" s="9" t="n">
        <x:v>3</x:v>
      </x:c>
      <x:c r="K226" s="9" t="n">
        <x:v>2</x:v>
      </x:c>
      <x:c r="L226" s="9" t="n">
        <x:v>4</x:v>
      </x:c>
      <x:c r="M226" s="12" t="n">
        <x:v>2.5</x:v>
      </x:c>
      <x:c r="N226" s="9" t="inlineStr">
        <x:is>
          <x:t xml:space="preserve">Módulos de acero + paneles SIP</x:t>
        </x:is>
      </x:c>
      <x:c r="O226" s="10" t="inlineStr">
        <x:is>
          <x:t xml:space="preserve">Acero galvanizado o madera laminada + panel SIP MgO/OSB</x:t>
        </x:is>
      </x:c>
      <x:c r="P226" s="15" t="n">
        <x:v>110</x:v>
      </x:c>
      <x:c r="Q226" s="9" t="inlineStr">
        <x:is>
          <x:t xml:space="preserve">Lana mineral 75-100 mm o EPS integrado</x:t>
        </x:is>
      </x:c>
      <x:c r="R226" s="15" t="n">
        <x:v>90</x:v>
      </x:c>
      <x:c r="S226" s="10" t="inlineStr">
        <x:is>
          <x:t xml:space="preserve">Módulo volumétrico con cubierta panelizada</x:t>
        </x:is>
      </x:c>
      <x:c r="T226" s="15" t="n">
        <x:v>180</x:v>
      </x:c>
      <x:c r="U226" s="10" t="inlineStr">
        <x:is>
          <x:t xml:space="preserve">Lana mineral / EPS / barrera vapor</x:t>
        </x:is>
      </x:c>
      <x:c r="V226" s="9" t="inlineStr">
        <x:is>
          <x:t xml:space="preserve">Bastidor metálico o madera laminada</x:t>
        </x:is>
      </x:c>
      <x:c r="W226" s="10" t="inlineStr">
        <x:is>
          <x:t xml:space="preserve">Lana mineral 80-100 mm + fibrocemento</x:t>
        </x:is>
      </x:c>
      <x:c r="X226" s="9" t="inlineStr">
        <x:is>
          <x:t xml:space="preserve">PVC termopanel</x:t>
        </x:is>
      </x:c>
      <x:c r="Y226" s="9" t="inlineStr">
        <x:is>
          <x:t xml:space="preserve">Fibrocemento tipo siding</x:t>
        </x:is>
      </x:c>
      <x:c r="Z226" s="9" t="inlineStr">
        <x:is>
          <x:t xml:space="preserve">Melamina blanca</x:t>
        </x:is>
      </x:c>
      <x:c r="AA226" s="9" t="inlineStr">
        <x:is>
          <x:t xml:space="preserve">Pilotes ajustables</x:t>
        </x:is>
      </x:c>
      <x:c r="AB226" s="15" t="n">
        <x:v>7</x:v>
      </x:c>
      <x:c r="AC226" s="15" t="n">
        <x:v>7</x:v>
      </x:c>
      <x:c r="AD226" s="9" t="inlineStr">
        <x:is>
          <x:t xml:space="preserve">Parcela</x:t>
        </x:is>
      </x:c>
      <x:c r="AE226" s="9" t="inlineStr">
        <x:is>
          <x:t xml:space="preserve">Austral frío</x:t>
        </x:is>
      </x:c>
      <x:c r="AF226" s="10" t="inlineStr">
        <x:is>
          <x:t xml:space="preserve">Criterios de prefabricación modular y coordinación BIM (referencial)</x:t>
        </x:is>
      </x:c>
      <x:c r="AG226" s="10" t="inlineStr">
        <x:is>
          <x:t xml:space="preserve">https://modul.cl/construccion-de-casas-prefabricadas-modulares/ | https://tecnofasthome.cl/casas-modulares/</x:t>
        </x:is>
      </x:c>
      <x:c r="AH226" s="10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180 mm; ventanas PVC termopanel; revestimiento exterior Plancha metálica; interior Melamina blanca; fundación sugerida Radier.</x:t>
        </x:is>
      </x:c>
    </x:row>
    <x:row r="227" ht="32" customHeight="1">
      <x:c r="A227" s="9" t="inlineStr">
        <x:is>
          <x:t xml:space="preserve">MOD-0226</x:t>
        </x:is>
      </x:c>
      <x:c r="B227" s="9" t="inlineStr">
        <x:is>
          <x:t xml:space="preserve">EMP-046</x:t>
        </x:is>
      </x:c>
      <x:c r="C227" s="9" t="inlineStr">
        <x:is>
          <x:t xml:space="preserve">Porvenir 48</x:t>
        </x:is>
      </x:c>
      <x:c r="D227" s="9" t="inlineStr">
        <x:is>
          <x:t xml:space="preserve">Porvenir</x:t>
        </x:is>
      </x:c>
      <x:c r="E227" s="9" t="inlineStr">
        <x:is>
          <x:t xml:space="preserve">Lago</x:t>
        </x:is>
      </x:c>
      <x:c r="F227" s="9" t="inlineStr">
        <x:is>
          <x:t xml:space="preserve">Sí</x:t>
        </x:is>
      </x:c>
      <x:c r="G227" s="9" t="inlineStr">
        <x:is>
          <x:t xml:space="preserve">SIP</x:t>
        </x:is>
      </x:c>
      <x:c r="H227" s="15" t="n">
        <x:v>48</x:v>
      </x:c>
      <x:c r="I227" s="9" t="n">
        <x:v>2</x:v>
      </x:c>
      <x:c r="J227" s="9" t="n">
        <x:v>1</x:v>
      </x:c>
      <x:c r="K227" s="9" t="n">
        <x:v>1</x:v>
      </x:c>
      <x:c r="L227" s="9" t="n">
        <x:v>2</x:v>
      </x:c>
      <x:c r="M227" s="12" t="n">
        <x:v>2.35</x:v>
      </x:c>
      <x:c r="N227" s="9" t="inlineStr">
        <x:is>
          <x:t xml:space="preserve">Panel SIP estructural OSB/EPS/OSB</x:t>
        </x:is>
      </x:c>
      <x:c r="O227" s="10" t="inlineStr">
        <x:is>
          <x:t xml:space="preserve">2 placas OSB estructural + núcleo EPS alta densidad</x:t>
        </x:is>
      </x:c>
      <x:c r="P227" s="15" t="n">
        <x:v>114</x:v>
      </x:c>
      <x:c r="Q227" s="9" t="inlineStr">
        <x:is>
          <x:t xml:space="preserve">EPS alta densidad 15 kg/m³</x:t>
        </x:is>
      </x:c>
      <x:c r="R227" s="15" t="n">
        <x:v>92</x:v>
      </x:c>
      <x:c r="S227" s="10" t="inlineStr">
        <x:is>
          <x:t xml:space="preserve">Panel SIP de cubierta + membrana hidrófuga + hojalatería</x:t>
        </x:is>
      </x:c>
      <x:c r="T227" s="15" t="n">
        <x:v>164</x:v>
      </x:c>
      <x:c r="U227" s="10" t="inlineStr">
        <x:is>
          <x:t xml:space="preserve">EPS integrado + sellos PU</x:t>
        </x:is>
      </x:c>
      <x:c r="V227" s="9" t="inlineStr">
        <x:is>
          <x:t xml:space="preserve">Base entramado madera o radier con barrera de humedad</x:t>
        </x:is>
      </x:c>
      <x:c r="W227" s="10" t="inlineStr">
        <x:is>
          <x:t xml:space="preserve">Aislación bajo piso PET o lana mineral 50-100 mm</x:t>
        </x:is>
      </x:c>
      <x:c r="X227" s="9" t="inlineStr">
        <x:is>
          <x:t xml:space="preserve">PVC DVH</x:t>
        </x:is>
      </x:c>
      <x:c r="Y227" s="9" t="inlineStr">
        <x:is>
          <x:t xml:space="preserve">Smart Panel</x:t>
        </x:is>
      </x:c>
      <x:c r="Z227" s="9" t="inlineStr">
        <x:is>
          <x:t xml:space="preserve">MDF en zonas secas</x:t>
        </x:is>
      </x:c>
      <x:c r="AA227" s="9" t="inlineStr">
        <x:is>
          <x:t xml:space="preserve">Radier afinado</x:t>
        </x:is>
      </x:c>
      <x:c r="AB227" s="15" t="n">
        <x:v>6</x:v>
      </x:c>
      <x:c r="AC227" s="15" t="n">
        <x:v>8</x:v>
      </x:c>
      <x:c r="AD227" s="9" t="inlineStr">
        <x:is>
          <x:t xml:space="preserve">Segunda vivienda</x:t>
        </x:is>
      </x:c>
      <x:c r="AE227" s="9" t="inlineStr">
        <x:is>
          <x:t xml:space="preserve">Sur lluvioso</x:t>
        </x:is>
      </x:c>
      <x:c r="AF227" s="10" t="inlineStr">
        <x:is>
          <x:t xml:space="preserve">NCh3393:2016 (referencial para paneles SIP)</x:t>
        </x:is>
      </x:c>
      <x:c r="AG227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7" s="10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164 mm; ventanas Aluminio con termopanel; revestimiento exterior Plancha metálica prepintada; interior Yeso cartón RH en zonas húmedas; fundación sugerida Pilotes metálicos.</x:t>
        </x:is>
      </x:c>
    </x:row>
    <x:row r="228" ht="32" customHeight="1">
      <x:c r="A228" s="9" t="inlineStr">
        <x:is>
          <x:t xml:space="preserve">MOD-0227</x:t>
        </x:is>
      </x:c>
      <x:c r="B228" s="9" t="inlineStr">
        <x:is>
          <x:t xml:space="preserve">EMP-046</x:t>
        </x:is>
      </x:c>
      <x:c r="C228" s="9" t="inlineStr">
        <x:is>
          <x:t xml:space="preserve">Maipo 80</x:t>
        </x:is>
      </x:c>
      <x:c r="D228" s="9" t="inlineStr">
        <x:is>
          <x:t xml:space="preserve">Maipo</x:t>
        </x:is>
      </x:c>
      <x:c r="E228" s="9" t="inlineStr">
        <x:is>
          <x:t xml:space="preserve">Ciudad</x:t>
        </x:is>
      </x:c>
      <x:c r="F228" s="9" t="inlineStr">
        <x:is>
          <x:t xml:space="preserve">Sí</x:t>
        </x:is>
      </x:c>
      <x:c r="G228" s="9" t="inlineStr">
        <x:is>
          <x:t xml:space="preserve">SIP</x:t>
        </x:is>
      </x:c>
      <x:c r="H228" s="15" t="n">
        <x:v>80</x:v>
      </x:c>
      <x:c r="I228" s="9" t="n">
        <x:v>3</x:v>
      </x:c>
      <x:c r="J228" s="9" t="n">
        <x:v>2</x:v>
      </x:c>
      <x:c r="K228" s="9" t="n">
        <x:v>1</x:v>
      </x:c>
      <x:c r="L228" s="9" t="n">
        <x:v>2</x:v>
      </x:c>
      <x:c r="M228" s="12" t="n">
        <x:v>2.4</x:v>
      </x:c>
      <x:c r="N228" s="9" t="inlineStr">
        <x:is>
          <x:t xml:space="preserve">Panel SIP estructural OSB/EPS/OSB</x:t>
        </x:is>
      </x:c>
      <x:c r="O228" s="10" t="inlineStr">
        <x:is>
          <x:t xml:space="preserve">2 placas OSB estructural + núcleo EPS alta densidad</x:t>
        </x:is>
      </x:c>
      <x:c r="P228" s="15" t="n">
        <x:v>130</x:v>
      </x:c>
      <x:c r="Q228" s="9" t="inlineStr">
        <x:is>
          <x:t xml:space="preserve">EPS alta densidad 15 kg/m³</x:t>
        </x:is>
      </x:c>
      <x:c r="R228" s="15" t="n">
        <x:v>53</x:v>
      </x:c>
      <x:c r="S228" s="10" t="inlineStr">
        <x:is>
          <x:t xml:space="preserve">Panel SIP de cubierta + membrana hidrófuga + hojalatería</x:t>
        </x:is>
      </x:c>
      <x:c r="T228" s="15" t="n">
        <x:v>114</x:v>
      </x:c>
      <x:c r="U228" s="10" t="inlineStr">
        <x:is>
          <x:t xml:space="preserve">EPS integrado + sellos PU</x:t>
        </x:is>
      </x:c>
      <x:c r="V228" s="9" t="inlineStr">
        <x:is>
          <x:t xml:space="preserve">Base entramado madera o radier con barrera de humedad</x:t>
        </x:is>
      </x:c>
      <x:c r="W228" s="10" t="inlineStr">
        <x:is>
          <x:t xml:space="preserve">Aislación bajo piso PET o lana mineral 50-100 mm</x:t>
        </x:is>
      </x:c>
      <x:c r="X228" s="9" t="inlineStr">
        <x:is>
          <x:t xml:space="preserve">PVC DVH</x:t>
        </x:is>
      </x:c>
      <x:c r="Y228" s="9" t="inlineStr">
        <x:is>
          <x:t xml:space="preserve">Plancha metálica prepintada</x:t>
        </x:is>
      </x:c>
      <x:c r="Z228" s="9" t="inlineStr">
        <x:is>
          <x:t xml:space="preserve">MDF en zonas secas</x:t>
        </x:is>
      </x:c>
      <x:c r="AA228" s="9" t="inlineStr">
        <x:is>
          <x:t xml:space="preserve">Pilotes metálicos</x:t>
        </x:is>
      </x:c>
      <x:c r="AB228" s="15" t="n">
        <x:v>3</x:v>
      </x:c>
      <x:c r="AC228" s="15" t="n">
        <x:v>11</x:v>
      </x:c>
      <x:c r="AD228" s="9" t="inlineStr">
        <x:is>
          <x:t xml:space="preserve">Segunda vivienda</x:t>
        </x:is>
      </x:c>
      <x:c r="AE228" s="9" t="inlineStr">
        <x:is>
          <x:t xml:space="preserve">Sur lluvioso</x:t>
        </x:is>
      </x:c>
      <x:c r="AF228" s="10" t="inlineStr">
        <x:is>
          <x:t xml:space="preserve">NCh3393:2016 (referencial para paneles SIP)</x:t>
        </x:is>
      </x:c>
      <x:c r="AG228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8" s="10" t="inlineStr">
        <x:is>
          <x:t xml:space="preserve">Estructura: Panel SIP estructural OSB/EPS/OSB; muros 2 placas OSB estructural + núcleo EPS alta densidad de 130 mm con aislación EPS alta densidad 15 kg/m³ (53 mm); cubierta Panel SIP de cubierta + membrana hidrófuga + hojalatería de 114 mm; ventanas PVC termopanel; revestimiento exterior Plancha metálica prepintada; interior Yeso cartón pintado; fundación sugerida Radier afinado.</x:t>
        </x:is>
      </x:c>
    </x:row>
    <x:row r="229" ht="32" customHeight="1">
      <x:c r="A229" s="9" t="inlineStr">
        <x:is>
          <x:t xml:space="preserve">MOD-0228</x:t>
        </x:is>
      </x:c>
      <x:c r="B229" s="9" t="inlineStr">
        <x:is>
          <x:t xml:space="preserve">EMP-046</x:t>
        </x:is>
      </x:c>
      <x:c r="C229" s="9" t="inlineStr">
        <x:is>
          <x:t xml:space="preserve">Rapel 112</x:t>
        </x:is>
      </x:c>
      <x:c r="D229" s="9" t="inlineStr">
        <x:is>
          <x:t xml:space="preserve">Rapel</x:t>
        </x:is>
      </x:c>
      <x:c r="E229" s="9" t="inlineStr">
        <x:is>
          <x:t xml:space="preserve">Ciudad</x:t>
        </x:is>
      </x:c>
      <x:c r="F229" s="9" t="inlineStr">
        <x:is>
          <x:t xml:space="preserve">Sí</x:t>
        </x:is>
      </x:c>
      <x:c r="G229" s="9" t="inlineStr">
        <x:is>
          <x:t xml:space="preserve">MODULAR_TIMBER</x:t>
        </x:is>
      </x:c>
      <x:c r="H229" s="15" t="n">
        <x:v>112</x:v>
      </x:c>
      <x:c r="I229" s="9" t="n">
        <x:v>3</x:v>
      </x:c>
      <x:c r="J229" s="9" t="n">
        <x:v>2</x:v>
      </x:c>
      <x:c r="K229" s="9" t="n">
        <x:v>1</x:v>
      </x:c>
      <x:c r="L229" s="9" t="n">
        <x:v>3</x:v>
      </x:c>
      <x:c r="M229" s="12" t="n">
        <x:v>2.45</x:v>
      </x:c>
      <x:c r="N229" s="9" t="inlineStr">
        <x:is>
          <x:t xml:space="preserve">Wood frame modular</x:t>
        </x:is>
      </x:c>
      <x:c r="O229" s="10" t="inlineStr">
        <x:is>
          <x:t xml:space="preserve">Madera estructural + OSB / terciado + barrera hidrófuga</x:t>
        </x:is>
      </x:c>
      <x:c r="P229" s="15" t="n">
        <x:v>120</x:v>
      </x:c>
      <x:c r="Q229" s="9" t="inlineStr">
        <x:is>
          <x:t xml:space="preserve">Lana mineral / lana de vidrio / PET reciclado</x:t>
        </x:is>
      </x:c>
      <x:c r="R229" s="15" t="n">
        <x:v>100</x:v>
      </x:c>
      <x:c r="S229" s="10" t="inlineStr">
        <x:is>
          <x:t xml:space="preserve">Cercha de madera + cubierta metálica o tejuela asfáltica</x:t>
        </x:is>
      </x:c>
      <x:c r="T229" s="15" t="n">
        <x:v>180</x:v>
      </x:c>
      <x:c r="U229" s="10" t="inlineStr">
        <x:is>
          <x:t xml:space="preserve">Lana mineral 80-140 mm + membrana</x:t>
        </x:is>
      </x:c>
      <x:c r="V229" s="9" t="inlineStr">
        <x:is>
          <x:t xml:space="preserve">Plataforma de madera estructural o radier</x:t>
        </x:is>
      </x:c>
      <x:c r="W229" s="10" t="inlineStr">
        <x:is>
          <x:t xml:space="preserve">Lana mineral 50-100 mm / barrera humedad</x:t>
        </x:is>
      </x:c>
      <x:c r="X229" s="9" t="inlineStr">
        <x:is>
          <x:t xml:space="preserve">Aluminio termopanel</x:t>
        </x:is>
      </x:c>
      <x:c r="Y229" s="9" t="inlineStr">
        <x:is>
          <x:t xml:space="preserve">Madera tratada</x:t>
        </x:is>
      </x:c>
      <x:c r="Z229" s="9" t="inlineStr">
        <x:is>
          <x:t xml:space="preserve">MDF ranurado</x:t>
        </x:is>
      </x:c>
      <x:c r="AA229" s="9" t="inlineStr">
        <x:is>
          <x:t xml:space="preserve">Radier</x:t>
        </x:is>
      </x:c>
      <x:c r="AB229" s="15" t="n">
        <x:v>5</x:v>
      </x:c>
      <x:c r="AC229" s="15" t="n">
        <x:v>9</x:v>
      </x:c>
      <x:c r="AD229" s="9" t="inlineStr">
        <x:is>
          <x:t xml:space="preserve">Loteo habitacional</x:t>
        </x:is>
      </x:c>
      <x:c r="AE229" s="9" t="inlineStr">
        <x:is>
          <x:t xml:space="preserve">Sur lluvioso</x:t>
        </x:is>
      </x:c>
      <x:c r="AF229" s="10" t="inlineStr">
        <x:is>
          <x:t xml:space="preserve">Especificaciones técnicas de vivienda industrializada en madera (referencial)</x:t>
        </x:is>
      </x:c>
      <x:c r="AG229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29" s="10" t="inlineStr">
        <x:is>
          <x:t xml:space="preserve">Estructura: Madera laminada y entramado ligero; muros Madera estructural + OSB / terciado + barrera hidrófuga de 120 mm con aislación Lana mineral / lana de vidrio / PET reciclado (100 mm); cubierta Cercha de madera + cubierta metálica o tejuela asfáltica de 180 mm; ventanas PVC termopanel; revestimiento exterior Smart Panel; interior Yeso cartón; fundación sugerida Radier.</x:t>
        </x:is>
      </x:c>
    </x:row>
    <x:row r="230" ht="32" customHeight="1">
      <x:c r="A230" s="9" t="inlineStr">
        <x:is>
          <x:t xml:space="preserve">MOD-0229</x:t>
        </x:is>
      </x:c>
      <x:c r="B230" s="9" t="inlineStr">
        <x:is>
          <x:t xml:space="preserve">EMP-046</x:t>
        </x:is>
      </x:c>
      <x:c r="C230" s="9" t="inlineStr">
        <x:is>
          <x:t xml:space="preserve">Mataquito 132</x:t>
        </x:is>
      </x:c>
      <x:c r="D230" s="9" t="inlineStr">
        <x:is>
          <x:t xml:space="preserve">Mataquito</x:t>
        </x:is>
      </x:c>
      <x:c r="E230" s="9" t="inlineStr">
        <x:is>
          <x:t xml:space="preserve">Comuna</x:t>
        </x:is>
      </x:c>
      <x:c r="F230" s="9" t="inlineStr">
        <x:is>
          <x:t xml:space="preserve">Sí</x:t>
        </x:is>
      </x:c>
      <x:c r="G230" s="9" t="inlineStr">
        <x:is>
          <x:t xml:space="preserve">STEEL_FRAME</x:t>
        </x:is>
      </x:c>
      <x:c r="H230" s="15" t="n">
        <x:v>132</x:v>
      </x:c>
      <x:c r="I230" s="9" t="n">
        <x:v>3</x:v>
      </x:c>
      <x:c r="J230" s="9" t="n">
        <x:v>2</x:v>
      </x:c>
      <x:c r="K230" s="9" t="n">
        <x:v>1</x:v>
      </x:c>
      <x:c r="L230" s="9" t="n">
        <x:v>3</x:v>
      </x:c>
      <x:c r="M230" s="12" t="n">
        <x:v>2.45</x:v>
      </x:c>
      <x:c r="N230" s="9" t="inlineStr">
        <x:is>
          <x:t xml:space="preserve">Panelizado steel frame industrializado</x:t>
        </x:is>
      </x:c>
      <x:c r="O230" s="10" t="inlineStr">
        <x:is>
          <x:t xml:space="preserve">Acero galvanizado + placa OSB/fibrocemento + cámara técnica</x:t>
        </x:is>
      </x:c>
      <x:c r="P230" s="15" t="n">
        <x:v>160</x:v>
      </x:c>
      <x:c r="Q230" s="9" t="inlineStr">
        <x:is>
          <x:t xml:space="preserve">Lana mineral o lana de roca / PET / EPS según zona térmica</x:t>
        </x:is>
      </x:c>
      <x:c r="R230" s="15" t="n">
        <x:v>100</x:v>
      </x:c>
      <x:c r="S230" s="10" t="inlineStr">
        <x:is>
          <x:t xml:space="preserve">Cerchas o paneles steel frame + cubierta metálica</x:t>
        </x:is>
      </x:c>
      <x:c r="T230" s="15" t="n">
        <x:v>180</x:v>
      </x:c>
      <x:c r="U230" s="10" t="inlineStr">
        <x:is>
          <x:t xml:space="preserve">Lana mineral / lana de roca + barrera de vapor</x:t>
        </x:is>
      </x:c>
      <x:c r="V230" s="9" t="inlineStr">
        <x:is>
          <x:t xml:space="preserve">Envigado metálico o plataforma estructural</x:t>
        </x:is>
      </x:c>
      <x:c r="W230" s="10" t="inlineStr">
        <x:is>
          <x:t xml:space="preserve">Lana mineral 50-100 mm + placas estructurales</x:t>
        </x:is>
      </x:c>
      <x:c r="X230" s="9" t="inlineStr">
        <x:is>
          <x:t xml:space="preserve">Aluminio RPT termopanel</x:t>
        </x:is>
      </x:c>
      <x:c r="Y230" s="9" t="inlineStr">
        <x:is>
          <x:t xml:space="preserve">Plancha metálica</x:t>
        </x:is>
      </x:c>
      <x:c r="Z230" s="9" t="inlineStr">
        <x:is>
          <x:t xml:space="preserve">Yeso cartón</x:t>
        </x:is>
      </x:c>
      <x:c r="AA230" s="9" t="inlineStr">
        <x:is>
          <x:t xml:space="preserve">Pilotes</x:t>
        </x:is>
      </x:c>
      <x:c r="AB230" s="15" t="n">
        <x:v>8</x:v>
      </x:c>
      <x:c r="AC230" s="15" t="n">
        <x:v>10</x:v>
      </x:c>
      <x:c r="AD230" s="9" t="inlineStr">
        <x:is>
          <x:t xml:space="preserve">Primera vivienda</x:t>
        </x:is>
      </x:c>
      <x:c r="AE230" s="9" t="inlineStr">
        <x:is>
          <x:t xml:space="preserve">Sur lluvioso</x:t>
        </x:is>
      </x:c>
      <x:c r="AF230" s="10" t="inlineStr">
        <x:is>
          <x:t xml:space="preserve">Criterio térmico referencial OGUC / reglamentación térmica vigente</x:t>
        </x:is>
      </x:c>
      <x:c r="AG230" s="10" t="inlineStr">
        <x:is>
          <x:t xml:space="preserve">https://www.steelframe.cl/ | https://vhaceros.cl/blog/steel-framing-principios-estructurales-y-ventajas-en-la-construccion-chilena/</x:t>
        </x:is>
      </x:c>
      <x:c r="AH230" s="10" t="inlineStr">
        <x:is>
          <x:t xml:space="preserve">Estructura: Panelizado steel frame industrializado; muros Acero galvanizado + placa OSB/fibrocemento + cámara técnica de 160 mm con aislación Lana mineral o lana de roca / PET / EPS según zona térmica (100 mm); cubierta Cerchas o paneles steel frame + cubierta metálica de 180 mm; ventanas Aluminio RPT termopanel; revestimiento exterior Estuco sobre placa cementicia; interior Yeso cartón; fundación sugerida Radier reforzado.</x:t>
        </x:is>
      </x:c>
    </x:row>
    <x:row r="231" ht="32" customHeight="1">
      <x:c r="A231" s="9" t="inlineStr">
        <x:is>
          <x:t xml:space="preserve">MOD-0230</x:t>
        </x:is>
      </x:c>
      <x:c r="B231" s="9" t="inlineStr">
        <x:is>
          <x:t xml:space="preserve">EMP-046</x:t>
        </x:is>
      </x:c>
      <x:c r="C231" s="9" t="inlineStr">
        <x:is>
          <x:t xml:space="preserve">Maule 176</x:t>
        </x:is>
      </x:c>
      <x:c r="D231" s="9" t="inlineStr">
        <x:is>
          <x:t xml:space="preserve">Maule</x:t>
        </x:is>
      </x:c>
      <x:c r="E231" s="9" t="inlineStr">
        <x:is>
          <x:t xml:space="preserve">Valle</x:t>
        </x:is>
      </x:c>
      <x:c r="F231" s="9" t="inlineStr">
        <x:is>
          <x:t xml:space="preserve">Sí</x:t>
        </x:is>
      </x:c>
      <x:c r="G231" s="9" t="inlineStr">
        <x:is>
          <x:t xml:space="preserve">HYBRID_MODULAR</x:t>
        </x:is>
      </x:c>
      <x:c r="H231" s="15" t="n">
        <x:v>176</x:v>
      </x:c>
      <x:c r="I231" s="9" t="n">
        <x:v>4</x:v>
      </x:c>
      <x:c r="J231" s="9" t="n">
        <x:v>3</x:v>
      </x:c>
      <x:c r="K231" s="9" t="n">
        <x:v>1</x:v>
      </x:c>
      <x:c r="L231" s="9" t="n">
        <x:v>4</x:v>
      </x:c>
      <x:c r="M231" s="12" t="n">
        <x:v>2.45</x:v>
      </x:c>
      <x:c r="N231" s="9" t="inlineStr">
        <x:is>
          <x:t xml:space="preserve">Módulos de acero + paneles SIP</x:t>
        </x:is>
      </x:c>
      <x:c r="O231" s="10" t="inlineStr">
        <x:is>
          <x:t xml:space="preserve">Acero galvanizado o madera laminada + panel SIP MgO/OSB</x:t>
        </x:is>
      </x:c>
      <x:c r="P231" s="15" t="n">
        <x:v>140</x:v>
      </x:c>
      <x:c r="Q231" s="9" t="inlineStr">
        <x:is>
          <x:t xml:space="preserve">Lana mineral 75-100 mm o EPS integrado</x:t>
        </x:is>
      </x:c>
      <x:c r="R231" s="15" t="n">
        <x:v>90</x:v>
      </x:c>
      <x:c r="S231" s="10" t="inlineStr">
        <x:is>
          <x:t xml:space="preserve">Módulo volumétrico con cubierta panelizada</x:t>
        </x:is>
      </x:c>
      <x:c r="T231" s="15" t="n">
        <x:v>160</x:v>
      </x:c>
      <x:c r="U231" s="10" t="inlineStr">
        <x:is>
          <x:t xml:space="preserve">Lana mineral / EPS / barrera vapor</x:t>
        </x:is>
      </x:c>
      <x:c r="V231" s="9" t="inlineStr">
        <x:is>
          <x:t xml:space="preserve">Bastidor metálico o madera laminada</x:t>
        </x:is>
      </x:c>
      <x:c r="W231" s="10" t="inlineStr">
        <x:is>
          <x:t xml:space="preserve">Lana mineral 80-100 mm + fibrocemento</x:t>
        </x:is>
      </x:c>
      <x:c r="X231" s="9" t="inlineStr">
        <x:is>
          <x:t xml:space="preserve">PVC termopanel</x:t>
        </x:is>
      </x:c>
      <x:c r="Y231" s="9" t="inlineStr">
        <x:is>
          <x:t xml:space="preserve">Plancha metálica</x:t>
        </x:is>
      </x:c>
      <x:c r="Z231" s="9" t="inlineStr">
        <x:is>
          <x:t xml:space="preserve">Melamina blanca</x:t>
        </x:is>
      </x:c>
      <x:c r="AA231" s="9" t="inlineStr">
        <x:is>
          <x:t xml:space="preserve">Pilotes ajustables</x:t>
        </x:is>
      </x:c>
      <x:c r="AB231" s="15" t="n">
        <x:v>9</x:v>
      </x:c>
      <x:c r="AC231" s="15" t="n">
        <x:v>4</x:v>
      </x:c>
      <x:c r="AD231" s="9" t="inlineStr">
        <x:is>
          <x:t xml:space="preserve">Loteo habitacional</x:t>
        </x:is>
      </x:c>
      <x:c r="AE231" s="9" t="inlineStr">
        <x:is>
          <x:t xml:space="preserve">Sur lluvioso</x:t>
        </x:is>
      </x:c>
      <x:c r="AF231" s="10" t="inlineStr">
        <x:is>
          <x:t xml:space="preserve">Criterios de prefabricación modular y coordinación BIM (referencial)</x:t>
        </x:is>
      </x:c>
      <x:c r="AG231" s="10" t="inlineStr">
        <x:is>
          <x:t xml:space="preserve">https://modul.cl/construccion-de-casas-prefabricadas-modulares/ | https://tecnofasthome.cl/casas-modulares/</x:t>
        </x:is>
      </x:c>
      <x:c r="AH231" s="10" t="inlineStr">
        <x:is>
          <x:t xml:space="preserve">Estructura: Estructura híbrida acero-madera panelizada; muros Acero galvanizado o madera laminada + panel SIP MgO/OSB de 140 mm con aislación Lana mineral 75-100 mm o EPS integrado (90 mm); cubierta Módulo volumétrico con cubierta panelizada de 160 mm; ventanas Aluminio termopanel; revestimiento exterior Madera tratada; interior Yeso cartón pintado; fundación sugerida Radier.</x:t>
        </x:is>
      </x:c>
    </x:row>
    <x:row r="232" ht="32" customHeight="1">
      <x:c r="A232" s="9" t="inlineStr">
        <x:is>
          <x:t xml:space="preserve">MOD-0231</x:t>
        </x:is>
      </x:c>
      <x:c r="B232" s="9" t="inlineStr">
        <x:is>
          <x:t xml:space="preserve">EMP-047</x:t>
        </x:is>
      </x:c>
      <x:c r="C232" s="9" t="inlineStr">
        <x:is>
          <x:t xml:space="preserve">Itata 60</x:t>
        </x:is>
      </x:c>
      <x:c r="D232" s="9" t="inlineStr">
        <x:is>
          <x:t xml:space="preserve">Itata</x:t>
        </x:is>
      </x:c>
      <x:c r="E232" s="9" t="inlineStr">
        <x:is>
          <x:t xml:space="preserve">Archipiélago</x:t>
        </x:is>
      </x:c>
      <x:c r="F232" s="9" t="inlineStr">
        <x:is>
          <x:t xml:space="preserve">Sí</x:t>
        </x:is>
      </x:c>
      <x:c r="G232" s="9" t="inlineStr">
        <x:is>
          <x:t xml:space="preserve">SIP</x:t>
        </x:is>
      </x:c>
      <x:c r="H232" s="15" t="n">
        <x:v>60</x:v>
      </x:c>
      <x:c r="I232" s="9" t="n">
        <x:v>2</x:v>
      </x:c>
      <x:c r="J232" s="9" t="n">
        <x:v>1</x:v>
      </x:c>
      <x:c r="K232" s="9" t="n">
        <x:v>1</x:v>
      </x:c>
      <x:c r="L232" s="9" t="n">
        <x:v>2</x:v>
      </x:c>
      <x:c r="M232" s="12" t="n">
        <x:v>2.4</x:v>
      </x:c>
      <x:c r="N232" s="9" t="inlineStr">
        <x:is>
          <x:t xml:space="preserve">Panel SIP estructural con uniones en pino seco</x:t>
        </x:is>
      </x:c>
      <x:c r="O232" s="10" t="inlineStr">
        <x:is>
          <x:t xml:space="preserve">2 placas OSB estructural + núcleo EPS alta densidad</x:t>
        </x:is>
      </x:c>
      <x:c r="P232" s="15" t="n">
        <x:v>130</x:v>
      </x:c>
      <x:c r="Q232" s="9" t="inlineStr">
        <x:is>
          <x:t xml:space="preserve">EPS alta densidad 15 kg/m³</x:t>
        </x:is>
      </x:c>
      <x:c r="R232" s="15" t="n">
        <x:v>105</x:v>
      </x:c>
      <x:c r="S232" s="10" t="inlineStr">
        <x:is>
          <x:t xml:space="preserve">Panel SIP de cubierta + membrana hidrófuga + hojalatería</x:t>
        </x:is>
      </x:c>
      <x:c r="T232" s="15" t="n">
        <x:v>114</x:v>
      </x:c>
      <x:c r="U232" s="10" t="inlineStr">
        <x:is>
          <x:t xml:space="preserve">EPS integrado + sellos PU</x:t>
        </x:is>
      </x:c>
      <x:c r="V232" s="9" t="inlineStr">
        <x:is>
          <x:t xml:space="preserve">Base entramado madera o radier con barrera de humedad</x:t>
        </x:is>
      </x:c>
      <x:c r="W232" s="10" t="inlineStr">
        <x:is>
          <x:t xml:space="preserve">Aislación bajo piso PET o lana mineral 50-100 mm</x:t>
        </x:is>
      </x:c>
      <x:c r="X232" s="9" t="inlineStr">
        <x:is>
          <x:t xml:space="preserve">Aluminio con termopanel</x:t>
        </x:is>
      </x:c>
      <x:c r="Y232" s="9" t="inlineStr">
        <x:is>
          <x:t xml:space="preserve">Madera tratada</x:t>
        </x:is>
      </x:c>
      <x:c r="Z232" s="9" t="inlineStr">
        <x:is>
          <x:t xml:space="preserve">Yeso cartón RH en zonas húmedas</x:t>
        </x:is>
      </x:c>
      <x:c r="AA232" s="9" t="inlineStr">
        <x:is>
          <x:t xml:space="preserve">Pilotes metálicos</x:t>
        </x:is>
      </x:c>
      <x:c r="AB232" s="15" t="n">
        <x:v>4</x:v>
      </x:c>
      <x:c r="AC232" s="15" t="n">
        <x:v>10</x:v>
      </x:c>
      <x:c r="AD232" s="9" t="inlineStr">
        <x:is>
          <x:t xml:space="preserve">Cabaña permanente</x:t>
        </x:is>
      </x:c>
      <x:c r="AE232" s="9" t="inlineStr">
        <x:is>
          <x:t xml:space="preserve">Centro-sur templado lluvioso</x:t>
        </x:is>
      </x:c>
      <x:c r="AF232" s="10" t="inlineStr">
        <x:is>
          <x:t xml:space="preserve">NCh3393:2016 (referencial para paneles SIP)</x:t>
        </x:is>
      </x:c>
      <x:c r="AG232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32" s="10" t="inlineStr">
        <x:is>
          <x:t xml:space="preserve">Estructura: Panel SIP estructural con uniones en pino seco; muros 2 placas OSB estructural + núcleo EPS alta densidad de 130 mm con aislación EPS alta densidad 15 kg/m³ (105 mm); cubierta Panel SIP de cubierta + membrana hidrófuga + hojalatería de 114 mm; ventanas PVC termopanel; revestimiento exterior Madera tratada; interior Yeso cartón pintado; fundación sugerida Sobrecimientos y radier.</x:t>
        </x:is>
      </x:c>
    </x:row>
    <x:row r="233" ht="32" customHeight="1">
      <x:c r="A233" s="9" t="inlineStr">
        <x:is>
          <x:t xml:space="preserve">MOD-0232</x:t>
        </x:is>
      </x:c>
      <x:c r="B233" s="9" t="inlineStr">
        <x:is>
          <x:t xml:space="preserve">EMP-047</x:t>
        </x:is>
      </x:c>
      <x:c r="C233" s="9" t="inlineStr">
        <x:is>
          <x:t xml:space="preserve">Biobío 72</x:t>
        </x:is>
      </x:c>
      <x:c r="D233" s="9" t="inlineStr">
        <x:is>
          <x:t xml:space="preserve">Biobío</x:t>
        </x:is>
      </x:c>
      <x:c r="E233" s="9" t="inlineStr">
        <x:is>
          <x:t xml:space="preserve">Lago</x:t>
        </x:is>
      </x:c>
      <x:c r="F233" s="9" t="inlineStr">
        <x:is>
          <x:t xml:space="preserve">Sí</x:t>
        </x:is>
      </x:c>
      <x:c r="G233" s="9" t="inlineStr">
        <x:is>
          <x:t xml:space="preserve">STEEL_FRAME</x:t>
        </x:is>
      </x:c>
      <x:c r="H233" s="15" t="n">
        <x:v>72</x:v>
      </x:c>
      <x:c r="I233" s="9" t="n">
        <x:v>2</x:v>
      </x:c>
      <x:c r="J233" s="9" t="n">
        <x:v>2</x:v>
      </x:c>
      <x:c r="K233" s="9" t="n">
        <x:v>1</x:v>
      </x:c>
      <x:c r="L233" s="9" t="n">
        <x:v>2</x:v>
      </x:c>
      <x:c r="M233" s="12" t="n">
        <x:v>2.45</x:v>
      </x:c>
      <x:c r="N233" s="9" t="inlineStr">
        <x:is>
          <x:t xml:space="preserve">Perfilería de acero galvanizado liviano</x:t>
        </x:is>
      </x:c>
      <x:c r="O233" s="10" t="inlineStr">
        <x:is>
          <x:t xml:space="preserve">Acero galvanizado + placa OSB/fibrocemento + cámara técnica</x:t>
        </x:is>
      </x:c>
      <x:c r="P233" s="15" t="n">
        <x:v>110</x:v>
      </x:c>
      <x:c r="Q233" s="9" t="inlineStr">
        <x:is>
          <x:t xml:space="preserve">Lana mineral o lana de roca / PET / EPS según zona térmica</x:t>
        </x:is>
      </x:c>
      <x:c r="R233" s="15" t="n">
        <x:v>80</x:v>
      </x:c>
      <x:c r="S233" s="10" t="inlineStr">
        <x:is>
          <x:t xml:space="preserve">Cerchas o paneles steel frame + cubierta metálica</x:t>
        </x:is>
      </x:c>
      <x:c r="T233" s="15" t="n">
        <x:v>150</x:v>
      </x:c>
      <x:c r="U233" s="10" t="inlineStr">
        <x:is>
          <x:t xml:space="preserve">Lana mineral / lana de roca + barrera de vapor</x:t>
        </x:is>
      </x:c>
      <x:c r="V233" s="9" t="inlineStr">
        <x:is>
          <x:t xml:space="preserve">Envigado metálico o plataforma estructural</x:t>
        </x:is>
      </x:c>
      <x:c r="W233" s="10" t="inlineStr">
        <x:is>
          <x:t xml:space="preserve">Lana mineral 50-100 mm + placas estructurales</x:t>
        </x:is>
      </x:c>
      <x:c r="X233" s="9" t="inlineStr">
        <x:is>
          <x:t xml:space="preserve">PVC termopanel</x:t>
        </x:is>
      </x:c>
      <x:c r="Y233" s="9" t="inlineStr">
        <x:is>
          <x:t xml:space="preserve">Siding fibrocemento</x:t>
        </x:is>
      </x:c>
      <x:c r="Z233" s="9" t="inlineStr">
        <x:is>
          <x:t xml:space="preserve">MDF pintado</x:t>
        </x:is>
      </x:c>
      <x:c r="AA233" s="9" t="inlineStr">
        <x:is>
          <x:t xml:space="preserve">Radier reforzado</x:t>
        </x:is>
      </x:c>
      <x:c r="AB233" s="15" t="n">
        <x:v>4</x:v>
      </x:c>
      <x:c r="AC233" s="15" t="n">
        <x:v>13</x:v>
      </x:c>
      <x:c r="AD233" s="9" t="inlineStr">
        <x:is>
          <x:t xml:space="preserve">Segunda vivienda</x:t>
        </x:is>
      </x:c>
      <x:c r="AE233" s="9" t="inlineStr">
        <x:is>
          <x:t xml:space="preserve">Centro-sur templado lluvioso</x:t>
        </x:is>
      </x:c>
      <x:c r="AF233" s="10" t="inlineStr">
        <x:is>
          <x:t xml:space="preserve">Criterio térmico referencial OGUC / reglamentación térmica vigente</x:t>
        </x:is>
      </x:c>
      <x:c r="AG233" s="10" t="inlineStr">
        <x:is>
          <x:t xml:space="preserve">https://www.steelframe.cl/ | https://vhaceros.cl/blog/steel-framing-principios-estructurales-y-ventajas-en-la-construccion-chilena/</x:t>
        </x:is>
      </x:c>
      <x:c r="AH233" s="10" t="inlineStr">
        <x:is>
          <x:t xml:space="preserve">Estructura: Panelizado steel frame industrializado; muros Acero galvanizado + placa OSB/fibrocemento + cámara técnica de 110 mm con aislación Lana mineral o lana de roca / PET / EPS según zona térmica (80 mm); cubierta Cerchas o paneles steel frame + cubierta metálica de 150 mm; ventanas Aluminio RPT termopanel; revestimiento exterior Estuco sobre placa cementicia; interior MDF pintado; fundación sugerida Pilotes.</x:t>
        </x:is>
      </x:c>
    </x:row>
    <x:row r="234" ht="32" customHeight="1">
      <x:c r="A234" s="9" t="inlineStr">
        <x:is>
          <x:t xml:space="preserve">MOD-0233</x:t>
        </x:is>
      </x:c>
      <x:c r="B234" s="9" t="inlineStr">
        <x:is>
          <x:t xml:space="preserve">EMP-047</x:t>
        </x:is>
      </x:c>
      <x:c r="C234" s="9" t="inlineStr">
        <x:is>
          <x:t xml:space="preserve">Laja 72</x:t>
        </x:is>
      </x:c>
      <x:c r="D234" s="9" t="inlineStr">
        <x:is>
          <x:t xml:space="preserve">Laja</x:t>
        </x:is>
      </x:c>
      <x:c r="E234" s="9" t="inlineStr">
        <x:is>
          <x:t xml:space="preserve">Lago</x:t>
        </x:is>
      </x:c>
      <x:c r="F234" s="9" t="inlineStr">
        <x:is>
          <x:t xml:space="preserve">Sí</x:t>
        </x:is>
      </x:c>
      <x:c r="G234" s="9" t="inlineStr">
        <x:is>
          <x:t xml:space="preserve">SIP</x:t>
        </x:is>
      </x:c>
      <x:c r="H234" s="15" t="n">
        <x:v>72</x:v>
      </x:c>
      <x:c r="I234" s="9" t="n">
        <x:v>2</x:v>
      </x:c>
      <x:c r="J234" s="9" t="n">
        <x:v>2</x:v>
      </x:c>
      <x:c r="K234" s="9" t="n">
        <x:v>1</x:v>
      </x:c>
      <x:c r="L234" s="9" t="n">
        <x:v>2</x:v>
      </x:c>
      <x:c r="M234" s="12" t="n">
        <x:v>2.45</x:v>
      </x:c>
      <x:c r="N234" s="9" t="inlineStr">
        <x:is>
          <x:t xml:space="preserve">Panel SIP estructural con uniones en pino seco</x:t>
        </x:is>
      </x:c>
      <x:c r="O234" s="10" t="inlineStr">
        <x:is>
          <x:t xml:space="preserve">2 placas OSB estructural + núcleo EPS alta densidad</x:t>
        </x:is>
      </x:c>
      <x:c r="P234" s="15" t="n">
        <x:v>114</x:v>
      </x:c>
      <x:c r="Q234" s="9" t="inlineStr">
        <x:is>
          <x:t xml:space="preserve">EPS alta densidad 15 kg/m³</x:t>
        </x:is>
      </x:c>
      <x:c r="R234" s="15" t="n">
        <x:v>92</x:v>
      </x:c>
      <x:c r="S234" s="10" t="inlineStr">
        <x:is>
          <x:t xml:space="preserve">Panel SIP de cubierta + membrana hidrófuga + hojalatería</x:t>
        </x:is>
      </x:c>
      <x:c r="T234" s="15" t="n">
        <x:v>114</x:v>
      </x:c>
      <x:c r="U234" s="10" t="inlineStr">
        <x:is>
          <x:t xml:space="preserve">EPS integrado + sellos PU</x:t>
        </x:is>
      </x:c>
      <x:c r="V234" s="9" t="inlineStr">
        <x:is>
          <x:t xml:space="preserve">Base entramado madera o radier con barrera de humedad</x:t>
        </x:is>
      </x:c>
      <x:c r="W234" s="10" t="inlineStr">
        <x:is>
          <x:t xml:space="preserve">Aislación bajo piso PET o lana mineral 50-100 mm</x:t>
        </x:is>
      </x:c>
      <x:c r="X234" s="9" t="inlineStr">
        <x:is>
          <x:t xml:space="preserve">Aluminio con termopanel</x:t>
        </x:is>
      </x:c>
      <x:c r="Y234" s="9" t="inlineStr">
        <x:is>
          <x:t xml:space="preserve">Plancha metálica prepintada</x:t>
        </x:is>
      </x:c>
      <x:c r="Z234" s="9" t="inlineStr">
        <x:is>
          <x:t xml:space="preserve">MDF en zonas secas</x:t>
        </x:is>
      </x:c>
      <x:c r="AA234" s="9" t="inlineStr">
        <x:is>
          <x:t xml:space="preserve">Sobrecimientos y radier</x:t>
        </x:is>
      </x:c>
      <x:c r="AB234" s="15" t="n">
        <x:v>6</x:v>
      </x:c>
      <x:c r="AC234" s="15" t="n">
        <x:v>4</x:v>
      </x:c>
      <x:c r="AD234" s="9" t="inlineStr">
        <x:is>
          <x:t xml:space="preserve">Turismo / arriendo</x:t>
        </x:is>
      </x:c>
      <x:c r="AE234" s="9" t="inlineStr">
        <x:is>
          <x:t xml:space="preserve">Centro-sur templado lluvioso</x:t>
        </x:is>
      </x:c>
      <x:c r="AF234" s="10" t="inlineStr">
        <x:is>
          <x:t xml:space="preserve">NCh3393:2016 (referencial para paneles SIP)</x:t>
        </x:is>
      </x:c>
      <x:c r="AG234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34" s="10" t="inlineStr">
        <x:is>
          <x:t xml:space="preserve">Estructura: Panel SIP estructural OSB/EPS/OSB; muros 2 placas OSB estructural + núcleo EPS alta densidad de 114 mm con aislación EPS alta densidad 15 kg/m³ (92 mm); cubierta Panel SIP de cubierta + membrana hidrófuga + hojalatería de 114 mm; ventanas PVC termopanel; revestimiento exterior Smart Panel; interior Yeso cartón pintado; fundación sugerida Sobrecimientos y radier.</x:t>
        </x:is>
      </x:c>
    </x:row>
    <x:row r="235" ht="32" customHeight="1">
      <x:c r="A235" s="9" t="inlineStr">
        <x:is>
          <x:t xml:space="preserve">MOD-0234</x:t>
        </x:is>
      </x:c>
      <x:c r="B235" s="9" t="inlineStr">
        <x:is>
          <x:t xml:space="preserve">EMP-047</x:t>
        </x:is>
      </x:c>
      <x:c r="C235" s="9" t="inlineStr">
        <x:is>
          <x:t xml:space="preserve">Vergara 120</x:t>
        </x:is>
      </x:c>
      <x:c r="D235" s="9" t="inlineStr">
        <x:is>
          <x:t xml:space="preserve">Vergara</x:t>
        </x:is>
      </x:c>
      <x:c r="E235" s="9" t="inlineStr">
        <x:is>
          <x:t xml:space="preserve">Lago</x:t>
        </x:is>
      </x:c>
      <x:c r="F235" s="9" t="inlineStr">
        <x:is>
          <x:t xml:space="preserve">Sí</x:t>
        </x:is>
      </x:c>
      <x:c r="G235" s="9" t="inlineStr">
        <x:is>
          <x:t xml:space="preserve">CONTAINER</x:t>
        </x:is>
      </x:c>
      <x:c r="H235" s="15" t="n">
        <x:v>120</x:v>
      </x:c>
      <x:c r="I235" s="9" t="n">
        <x:v>3</x:v>
      </x:c>
      <x:c r="J235" s="9" t="n">
        <x:v>2</x:v>
      </x:c>
      <x:c r="K235" s="9" t="n">
        <x:v>1</x:v>
      </x:c>
      <x:c r="L235" s="9" t="n">
        <x:v>3</x:v>
      </x:c>
      <x:c r="M235" s="12" t="n">
        <x:v>2.45</x:v>
      </x:c>
      <x:c r="N235" s="9" t="inlineStr">
        <x:is>
          <x:t xml:space="preserve">Módulo habitacional de acero galvanizado / corten</x:t>
        </x:is>
      </x:c>
      <x:c r="O235" s="10" t="inlineStr">
        <x:is>
          <x:t xml:space="preserve">Estructura container + subestructura interior + revestimiento</x:t>
        </x:is>
      </x:c>
      <x:c r="P235" s="15" t="n">
        <x:v>110</x:v>
      </x:c>
      <x:c r="Q235" s="9" t="inlineStr">
        <x:is>
          <x:t xml:space="preserve">Poliuretano proyectado o EPS/Aislapol 40-60 mm</x:t>
        </x:is>
      </x:c>
      <x:c r="R235" s="15" t="n">
        <x:v>40</x:v>
      </x:c>
      <x:c r="S235" s="10" t="inlineStr">
        <x:is>
          <x:t xml:space="preserve">Cubierta metálica container + sobretecho ventilado opcional</x:t>
        </x:is>
      </x:c>
      <x:c r="T235" s="15" t="n">
        <x:v>80</x:v>
      </x:c>
      <x:c r="U235" s="10" t="inlineStr">
        <x:is>
          <x:t xml:space="preserve">Poliuretano / EPS + barrera anticondensación</x:t>
        </x:is>
      </x:c>
      <x:c r="V235" s="9" t="inlineStr">
        <x:is>
          <x:t xml:space="preserve">Piso terciado 18 mm o base original acondicionada + vinílico</x:t>
        </x:is>
      </x:c>
      <x:c r="W235" s="10" t="inlineStr">
        <x:is>
          <x:t xml:space="preserve">Aislación bajo piso 40-80 mm</x:t>
        </x:is>
      </x:c>
      <x:c r="X235" s="9" t="inlineStr">
        <x:is>
          <x:t xml:space="preserve">Aluminio termopanel</x:t>
        </x:is>
      </x:c>
      <x:c r="Y235" s="9" t="inlineStr">
        <x:is>
          <x:t xml:space="preserve">Acero galvanizado pintado</x:t>
        </x:is>
      </x:c>
      <x:c r="Z235" s="9" t="inlineStr">
        <x:is>
          <x:t xml:space="preserve">Madera pintada</x:t>
        </x:is>
      </x:c>
      <x:c r="AA235" s="9" t="inlineStr">
        <x:is>
          <x:t xml:space="preserve">Dados de hormigón</x:t>
        </x:is>
      </x:c>
      <x:c r="AB235" s="15" t="n">
        <x:v>3</x:v>
      </x:c>
      <x:c r="AC235" s="15" t="n">
        <x:v>4</x:v>
      </x:c>
      <x:c r="AD235" s="9" t="inlineStr">
        <x:is>
          <x:t xml:space="preserve">Loteo habitacional</x:t>
        </x:is>
      </x:c>
      <x:c r="AE235" s="9" t="inlineStr">
        <x:is>
          <x:t xml:space="preserve">Centro-sur templado lluvioso</x:t>
        </x:is>
      </x:c>
      <x:c r="AF235" s="10" t="inlineStr">
        <x:is>
          <x:t xml:space="preserve">Criterios de aislación, ventilación y tratamiento anticorrosivo (referencial)</x:t>
        </x:is>
      </x:c>
      <x:c r="AG235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35" s="10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80 mm; ventanas Aluminio termopanel; revestimiento exterior Plancha metálica prepintada; interior Yeso cartón; fundación sugerida Dados de hormigón.</x:t>
        </x:is>
      </x:c>
    </x:row>
    <x:row r="236" ht="32" customHeight="1">
      <x:c r="A236" s="9" t="inlineStr">
        <x:is>
          <x:t xml:space="preserve">MOD-0235</x:t>
        </x:is>
      </x:c>
      <x:c r="B236" s="9" t="inlineStr">
        <x:is>
          <x:t xml:space="preserve">EMP-047</x:t>
        </x:is>
      </x:c>
      <x:c r="C236" s="9" t="inlineStr">
        <x:is>
          <x:t xml:space="preserve">Toltén 192</x:t>
        </x:is>
      </x:c>
      <x:c r="D236" s="9" t="inlineStr">
        <x:is>
          <x:t xml:space="preserve">Toltén</x:t>
        </x:is>
      </x:c>
      <x:c r="E236" s="9" t="inlineStr">
        <x:is>
          <x:t xml:space="preserve">Ciudad</x:t>
        </x:is>
      </x:c>
      <x:c r="F236" s="9" t="inlineStr">
        <x:is>
          <x:t xml:space="preserve">Sí</x:t>
        </x:is>
      </x:c>
      <x:c r="G236" s="9" t="inlineStr">
        <x:is>
          <x:t xml:space="preserve">HYBRID_MODULAR</x:t>
        </x:is>
      </x:c>
      <x:c r="H236" s="15" t="n">
        <x:v>192</x:v>
      </x:c>
      <x:c r="I236" s="9" t="n">
        <x:v>4</x:v>
      </x:c>
      <x:c r="J236" s="9" t="n">
        <x:v>3</x:v>
      </x:c>
      <x:c r="K236" s="9" t="n">
        <x:v>1</x:v>
      </x:c>
      <x:c r="L236" s="9" t="n">
        <x:v>4</x:v>
      </x:c>
      <x:c r="M236" s="12" t="n">
        <x:v>2.45</x:v>
      </x:c>
      <x:c r="N236" s="9" t="inlineStr">
        <x:is>
          <x:t xml:space="preserve">Módulos de acero + paneles SIP</x:t>
        </x:is>
      </x:c>
      <x:c r="O236" s="10" t="inlineStr">
        <x:is>
          <x:t xml:space="preserve">Acero galvanizado o madera laminada + panel SIP MgO/OSB</x:t>
        </x:is>
      </x:c>
      <x:c r="P236" s="15" t="n">
        <x:v>110</x:v>
      </x:c>
      <x:c r="Q236" s="9" t="inlineStr">
        <x:is>
          <x:t xml:space="preserve">Lana mineral 75-100 mm o EPS integrado</x:t>
        </x:is>
      </x:c>
      <x:c r="R236" s="15" t="n">
        <x:v>75</x:v>
      </x:c>
      <x:c r="S236" s="10" t="inlineStr">
        <x:is>
          <x:t xml:space="preserve">Módulo volumétrico con cubierta panelizada</x:t>
        </x:is>
      </x:c>
      <x:c r="T236" s="15" t="n">
        <x:v>160</x:v>
      </x:c>
      <x:c r="U236" s="10" t="inlineStr">
        <x:is>
          <x:t xml:space="preserve">Lana mineral / EPS / barrera vapor</x:t>
        </x:is>
      </x:c>
      <x:c r="V236" s="9" t="inlineStr">
        <x:is>
          <x:t xml:space="preserve">Bastidor metálico o madera laminada</x:t>
        </x:is>
      </x:c>
      <x:c r="W236" s="10" t="inlineStr">
        <x:is>
          <x:t xml:space="preserve">Lana mineral 80-100 mm + fibrocemento</x:t>
        </x:is>
      </x:c>
      <x:c r="X236" s="9" t="inlineStr">
        <x:is>
          <x:t xml:space="preserve">PVC termopanel</x:t>
        </x:is>
      </x:c>
      <x:c r="Y236" s="9" t="inlineStr">
        <x:is>
          <x:t xml:space="preserve">Plancha metálica</x:t>
        </x:is>
      </x:c>
      <x:c r="Z236" s="9" t="inlineStr">
        <x:is>
          <x:t xml:space="preserve">Yeso cartón RH</x:t>
        </x:is>
      </x:c>
      <x:c r="AA236" s="9" t="inlineStr">
        <x:is>
          <x:t xml:space="preserve">Dados de hormigón</x:t>
        </x:is>
      </x:c>
      <x:c r="AB236" s="15" t="n">
        <x:v>10</x:v>
      </x:c>
      <x:c r="AC236" s="15" t="n">
        <x:v>10</x:v>
      </x:c>
      <x:c r="AD236" s="9" t="inlineStr">
        <x:is>
          <x:t xml:space="preserve">Primera vivienda</x:t>
        </x:is>
      </x:c>
      <x:c r="AE236" s="9" t="inlineStr">
        <x:is>
          <x:t xml:space="preserve">Centro-sur templado lluvioso</x:t>
        </x:is>
      </x:c>
      <x:c r="AF236" s="10" t="inlineStr">
        <x:is>
          <x:t xml:space="preserve">Criterios de prefabricación modular y coordinación BIM (referencial)</x:t>
        </x:is>
      </x:c>
      <x:c r="AG236" s="10" t="inlineStr">
        <x:is>
          <x:t xml:space="preserve">https://modul.cl/construccion-de-casas-prefabricadas-modulares/ | https://tecnofasthome.cl/casas-modulares/</x:t>
        </x:is>
      </x:c>
      <x:c r="AH236" s="10" t="inlineStr">
        <x:is>
          <x:t xml:space="preserve">Estructura: Módulos de acero + paneles SIP; muros Acero galvanizado o madera laminada + panel SIP MgO/OSB de 110 mm con aislación Lana mineral 75-100 mm o EPS integrado (75 mm); cubierta Módulo volumétrico con cubierta panelizada de 160 mm; ventanas PVC termopanel; revestimiento exterior Madera tratada; interior Melamina blanca; fundación sugerida Dados de hormigón.</x:t>
        </x:is>
      </x:c>
    </x:row>
    <x:row r="237" ht="32" customHeight="1">
      <x:c r="A237" s="9" t="inlineStr">
        <x:is>
          <x:t xml:space="preserve">MOD-0236</x:t>
        </x:is>
      </x:c>
      <x:c r="B237" s="9" t="inlineStr">
        <x:is>
          <x:t xml:space="preserve">EMP-048</x:t>
        </x:is>
      </x:c>
      <x:c r="C237" s="9" t="inlineStr">
        <x:is>
          <x:t xml:space="preserve">Imperial 48</x:t>
        </x:is>
      </x:c>
      <x:c r="D237" s="9" t="inlineStr">
        <x:is>
          <x:t xml:space="preserve">Imperial</x:t>
        </x:is>
      </x:c>
      <x:c r="E237" s="9" t="inlineStr">
        <x:is>
          <x:t xml:space="preserve">Comuna</x:t>
        </x:is>
      </x:c>
      <x:c r="F237" s="9" t="inlineStr">
        <x:is>
          <x:t xml:space="preserve">Sí</x:t>
        </x:is>
      </x:c>
      <x:c r="G237" s="9" t="inlineStr">
        <x:is>
          <x:t xml:space="preserve">MODULAR_TIMBER</x:t>
        </x:is>
      </x:c>
      <x:c r="H237" s="15" t="n">
        <x:v>48</x:v>
      </x:c>
      <x:c r="I237" s="9" t="n">
        <x:v>2</x:v>
      </x:c>
      <x:c r="J237" s="9" t="n">
        <x:v>1</x:v>
      </x:c>
      <x:c r="K237" s="9" t="n">
        <x:v>1</x:v>
      </x:c>
      <x:c r="L237" s="9" t="n">
        <x:v>2</x:v>
      </x:c>
      <x:c r="M237" s="12" t="n">
        <x:v>2.45</x:v>
      </x:c>
      <x:c r="N237" s="9" t="inlineStr">
        <x:is>
          <x:t xml:space="preserve">Entramado ligero en pino impregnado</x:t>
        </x:is>
      </x:c>
      <x:c r="O237" s="10" t="inlineStr">
        <x:is>
          <x:t xml:space="preserve">Madera estructural + OSB / terciado + barrera hidrófuga</x:t>
        </x:is>
      </x:c>
      <x:c r="P237" s="15" t="n">
        <x:v>140</x:v>
      </x:c>
      <x:c r="Q237" s="9" t="inlineStr">
        <x:is>
          <x:t xml:space="preserve">Lana mineral / lana de vidrio / PET reciclado</x:t>
        </x:is>
      </x:c>
      <x:c r="R237" s="15" t="n">
        <x:v>90</x:v>
      </x:c>
      <x:c r="S237" s="10" t="inlineStr">
        <x:is>
          <x:t xml:space="preserve">Cercha de madera + cubierta metálica o tejuela asfáltica</x:t>
        </x:is>
      </x:c>
      <x:c r="T237" s="15" t="n">
        <x:v>120</x:v>
      </x:c>
      <x:c r="U237" s="10" t="inlineStr">
        <x:is>
          <x:t xml:space="preserve">Lana mineral 80-140 mm + membrana</x:t>
        </x:is>
      </x:c>
      <x:c r="V237" s="9" t="inlineStr">
        <x:is>
          <x:t xml:space="preserve">Plataforma de madera estructural o radier</x:t>
        </x:is>
      </x:c>
      <x:c r="W237" s="10" t="inlineStr">
        <x:is>
          <x:t xml:space="preserve">Lana mineral 50-100 mm / barrera humedad</x:t>
        </x:is>
      </x:c>
      <x:c r="X237" s="9" t="inlineStr">
        <x:is>
          <x:t xml:space="preserve">PVC termopanel</x:t>
        </x:is>
      </x:c>
      <x:c r="Y237" s="9" t="inlineStr">
        <x:is>
          <x:t xml:space="preserve">Siding fibrocemento</x:t>
        </x:is>
      </x:c>
      <x:c r="Z237" s="9" t="inlineStr">
        <x:is>
          <x:t xml:space="preserve">Terciado pintado</x:t>
        </x:is>
      </x:c>
      <x:c r="AA237" s="9" t="inlineStr">
        <x:is>
          <x:t xml:space="preserve">Pilotes</x:t>
        </x:is>
      </x:c>
      <x:c r="AB237" s="15" t="n">
        <x:v>6</x:v>
      </x:c>
      <x:c r="AC237" s="15" t="n">
        <x:v>7</x:v>
      </x:c>
      <x:c r="AD237" s="9" t="inlineStr">
        <x:is>
          <x:t xml:space="preserve">Loteo habitacional</x:t>
        </x:is>
      </x:c>
      <x:c r="AE237" s="9" t="inlineStr">
        <x:is>
          <x:t xml:space="preserve">Centro templado</x:t>
        </x:is>
      </x:c>
      <x:c r="AF237" s="10" t="inlineStr">
        <x:is>
          <x:t xml:space="preserve">Especificaciones técnicas de vivienda industrializada en madera (referencial)</x:t>
        </x:is>
      </x:c>
      <x:c r="AG237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37" s="10" t="inlineStr">
        <x:is>
          <x:t xml:space="preserve">Estructura: Madera laminada y entramado ligero; muros Madera estructural + OSB / terciado + barrera hidrófuga de 140 mm con aislación Lana mineral / lana de vidrio / PET reciclado (90 mm); cubierta Cercha de madera + cubierta metálica o tejuela asfáltica de 120 mm; ventanas PVC termopanel; revestimiento exterior Smart Panel; interior Yeso cartón; fundación sugerida Radier.</x:t>
        </x:is>
      </x:c>
    </x:row>
    <x:row r="238" ht="32" customHeight="1">
      <x:c r="A238" s="9" t="inlineStr">
        <x:is>
          <x:t xml:space="preserve">MOD-0237</x:t>
        </x:is>
      </x:c>
      <x:c r="B238" s="9" t="inlineStr">
        <x:is>
          <x:t xml:space="preserve">EMP-048</x:t>
        </x:is>
      </x:c>
      <x:c r="C238" s="9" t="inlineStr">
        <x:is>
          <x:t xml:space="preserve">Valdivia 80</x:t>
        </x:is>
      </x:c>
      <x:c r="D238" s="9" t="inlineStr">
        <x:is>
          <x:t xml:space="preserve">Valdivia</x:t>
        </x:is>
      </x:c>
      <x:c r="E238" s="9" t="inlineStr">
        <x:is>
          <x:t xml:space="preserve">Lago</x:t>
        </x:is>
      </x:c>
      <x:c r="F238" s="9" t="inlineStr">
        <x:is>
          <x:t xml:space="preserve">Sí</x:t>
        </x:is>
      </x:c>
      <x:c r="G238" s="9" t="inlineStr">
        <x:is>
          <x:t xml:space="preserve">MODULAR_TIMBER</x:t>
        </x:is>
      </x:c>
      <x:c r="H238" s="15" t="n">
        <x:v>80</x:v>
      </x:c>
      <x:c r="I238" s="9" t="n">
        <x:v>3</x:v>
      </x:c>
      <x:c r="J238" s="9" t="n">
        <x:v>2</x:v>
      </x:c>
      <x:c r="K238" s="9" t="n">
        <x:v>1</x:v>
      </x:c>
      <x:c r="L238" s="9" t="n">
        <x:v>2</x:v>
      </x:c>
      <x:c r="M238" s="12" t="n">
        <x:v>2.5</x:v>
      </x:c>
      <x:c r="N238" s="9" t="inlineStr">
        <x:is>
          <x:t xml:space="preserve">Entramado ligero en pino impregnado</x:t>
        </x:is>
      </x:c>
      <x:c r="O238" s="10" t="inlineStr">
        <x:is>
          <x:t xml:space="preserve">Madera estructural + OSB / terciado + barrera hidrófuga</x:t>
        </x:is>
      </x:c>
      <x:c r="P238" s="15" t="n">
        <x:v>89</x:v>
      </x:c>
      <x:c r="Q238" s="9" t="inlineStr">
        <x:is>
          <x:t xml:space="preserve">Lana mineral / lana de vidrio / PET reciclado</x:t>
        </x:is>
      </x:c>
      <x:c r="R238" s="15" t="n">
        <x:v>60</x:v>
      </x:c>
      <x:c r="S238" s="10" t="inlineStr">
        <x:is>
          <x:t xml:space="preserve">Cercha de madera + cubierta metálica o tejuela asfáltica</x:t>
        </x:is>
      </x:c>
      <x:c r="T238" s="15" t="n">
        <x:v>180</x:v>
      </x:c>
      <x:c r="U238" s="10" t="inlineStr">
        <x:is>
          <x:t xml:space="preserve">Lana mineral 80-140 mm + membrana</x:t>
        </x:is>
      </x:c>
      <x:c r="V238" s="9" t="inlineStr">
        <x:is>
          <x:t xml:space="preserve">Plataforma de madera estructural o radier</x:t>
        </x:is>
      </x:c>
      <x:c r="W238" s="10" t="inlineStr">
        <x:is>
          <x:t xml:space="preserve">Lana mineral 50-100 mm / barrera humedad</x:t>
        </x:is>
      </x:c>
      <x:c r="X238" s="9" t="inlineStr">
        <x:is>
          <x:t xml:space="preserve">Aluminio termopanel</x:t>
        </x:is>
      </x:c>
      <x:c r="Y238" s="9" t="inlineStr">
        <x:is>
          <x:t xml:space="preserve">Madera tratada</x:t>
        </x:is>
      </x:c>
      <x:c r="Z238" s="9" t="inlineStr">
        <x:is>
          <x:t xml:space="preserve">Yeso cartón</x:t>
        </x:is>
      </x:c>
      <x:c r="AA238" s="9" t="inlineStr">
        <x:is>
          <x:t xml:space="preserve">Pilotes</x:t>
        </x:is>
      </x:c>
      <x:c r="AB238" s="15" t="n">
        <x:v>9</x:v>
      </x:c>
      <x:c r="AC238" s="15" t="n">
        <x:v>14</x:v>
      </x:c>
      <x:c r="AD238" s="9" t="inlineStr">
        <x:is>
          <x:t xml:space="preserve">Parcela</x:t>
        </x:is>
      </x:c>
      <x:c r="AE238" s="9" t="inlineStr">
        <x:is>
          <x:t xml:space="preserve">Centro templado</x:t>
        </x:is>
      </x:c>
      <x:c r="AF238" s="10" t="inlineStr">
        <x:is>
          <x:t xml:space="preserve">Especificaciones técnicas de vivienda industrializada en madera (referencial)</x:t>
        </x:is>
      </x:c>
      <x:c r="AG238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38" s="10" t="inlineStr">
        <x:is>
          <x:t xml:space="preserve">Estructura: Madera laminada y entramado ligero; muros Madera estructural + OSB / terciado + barrera hidrófuga de 89 mm con aislación Lana mineral / lana de vidrio / PET reciclado (60 mm); cubierta Cercha de madera + cubierta metálica o tejuela asfáltica de 180 mm; ventanas PVC termopanel; revestimiento exterior Siding fibrocemento; interior Yeso cartón; fundación sugerida Pilotes.</x:t>
        </x:is>
      </x:c>
    </x:row>
    <x:row r="239" ht="32" customHeight="1">
      <x:c r="A239" s="9" t="inlineStr">
        <x:is>
          <x:t xml:space="preserve">MOD-0238</x:t>
        </x:is>
      </x:c>
      <x:c r="B239" s="9" t="inlineStr">
        <x:is>
          <x:t xml:space="preserve">EMP-048</x:t>
        </x:is>
      </x:c>
      <x:c r="C239" s="9" t="inlineStr">
        <x:is>
          <x:t xml:space="preserve">Bueno 112</x:t>
        </x:is>
      </x:c>
      <x:c r="D239" s="9" t="inlineStr">
        <x:is>
          <x:t xml:space="preserve">Bueno</x:t>
        </x:is>
      </x:c>
      <x:c r="E239" s="9" t="inlineStr">
        <x:is>
          <x:t xml:space="preserve">Río</x:t>
        </x:is>
      </x:c>
      <x:c r="F239" s="9" t="inlineStr">
        <x:is>
          <x:t xml:space="preserve">Sí</x:t>
        </x:is>
      </x:c>
      <x:c r="G239" s="9" t="inlineStr">
        <x:is>
          <x:t xml:space="preserve">SIP</x:t>
        </x:is>
      </x:c>
      <x:c r="H239" s="15" t="n">
        <x:v>112</x:v>
      </x:c>
      <x:c r="I239" s="9" t="n">
        <x:v>3</x:v>
      </x:c>
      <x:c r="J239" s="9" t="n">
        <x:v>2</x:v>
      </x:c>
      <x:c r="K239" s="9" t="n">
        <x:v>1</x:v>
      </x:c>
      <x:c r="L239" s="9" t="n">
        <x:v>3</x:v>
      </x:c>
      <x:c r="M239" s="12" t="n">
        <x:v>2.5</x:v>
      </x:c>
      <x:c r="N239" s="9" t="inlineStr">
        <x:is>
          <x:t xml:space="preserve">Panel SIP estructural con uniones en pino seco</x:t>
        </x:is>
      </x:c>
      <x:c r="O239" s="10" t="inlineStr">
        <x:is>
          <x:t xml:space="preserve">2 placas OSB estructural + núcleo EPS alta densidad</x:t>
        </x:is>
      </x:c>
      <x:c r="P239" s="15" t="n">
        <x:v>90</x:v>
      </x:c>
      <x:c r="Q239" s="9" t="inlineStr">
        <x:is>
          <x:t xml:space="preserve">EPS alta densidad 15 kg/m³</x:t>
        </x:is>
      </x:c>
      <x:c r="R239" s="15" t="n">
        <x:v>53</x:v>
      </x:c>
      <x:c r="S239" s="10" t="inlineStr">
        <x:is>
          <x:t xml:space="preserve">Panel SIP de cubierta + membrana hidrófuga + hojalatería</x:t>
        </x:is>
      </x:c>
      <x:c r="T239" s="15" t="n">
        <x:v>114</x:v>
      </x:c>
      <x:c r="U239" s="10" t="inlineStr">
        <x:is>
          <x:t xml:space="preserve">EPS integrado + sellos PU</x:t>
        </x:is>
      </x:c>
      <x:c r="V239" s="9" t="inlineStr">
        <x:is>
          <x:t xml:space="preserve">Base entramado madera o radier con barrera de humedad</x:t>
        </x:is>
      </x:c>
      <x:c r="W239" s="10" t="inlineStr">
        <x:is>
          <x:t xml:space="preserve">Aislación bajo piso PET o lana mineral 50-100 mm</x:t>
        </x:is>
      </x:c>
      <x:c r="X239" s="9" t="inlineStr">
        <x:is>
          <x:t xml:space="preserve">PVC DVH</x:t>
        </x:is>
      </x:c>
      <x:c r="Y239" s="9" t="inlineStr">
        <x:is>
          <x:t xml:space="preserve">Smart Panel</x:t>
        </x:is>
      </x:c>
      <x:c r="Z239" s="9" t="inlineStr">
        <x:is>
          <x:t xml:space="preserve">MDF en zonas secas</x:t>
        </x:is>
      </x:c>
      <x:c r="AA239" s="9" t="inlineStr">
        <x:is>
          <x:t xml:space="preserve">Radier afinado</x:t>
        </x:is>
      </x:c>
      <x:c r="AB239" s="15" t="n">
        <x:v>6</x:v>
      </x:c>
      <x:c r="AC239" s="15" t="n">
        <x:v>7</x:v>
      </x:c>
      <x:c r="AD239" s="9" t="inlineStr">
        <x:is>
          <x:t xml:space="preserve">Loteo habitacional</x:t>
        </x:is>
      </x:c>
      <x:c r="AE239" s="9" t="inlineStr">
        <x:is>
          <x:t xml:space="preserve">Centro templado</x:t>
        </x:is>
      </x:c>
      <x:c r="AF239" s="10" t="inlineStr">
        <x:is>
          <x:t xml:space="preserve">NCh3393:2016 (referencial para paneles SIP)</x:t>
        </x:is>
      </x:c>
      <x:c r="AG23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39" s="10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114 mm; ventanas PVC DVH; revestimiento exterior Madera tratada; interior Yeso cartón RH en zonas húmedas; fundación sugerida Pilotes metálicos.</x:t>
        </x:is>
      </x:c>
    </x:row>
    <x:row r="240" ht="32" customHeight="1">
      <x:c r="A240" s="9" t="inlineStr">
        <x:is>
          <x:t xml:space="preserve">MOD-0239</x:t>
        </x:is>
      </x:c>
      <x:c r="B240" s="9" t="inlineStr">
        <x:is>
          <x:t xml:space="preserve">EMP-048</x:t>
        </x:is>
      </x:c>
      <x:c r="C240" s="9" t="inlineStr">
        <x:is>
          <x:t xml:space="preserve">Petrohué 156</x:t>
        </x:is>
      </x:c>
      <x:c r="D240" s="9" t="inlineStr">
        <x:is>
          <x:t xml:space="preserve">Petrohué</x:t>
        </x:is>
      </x:c>
      <x:c r="E240" s="9" t="inlineStr">
        <x:is>
          <x:t xml:space="preserve">Valle</x:t>
        </x:is>
      </x:c>
      <x:c r="F240" s="9" t="inlineStr">
        <x:is>
          <x:t xml:space="preserve">Sí</x:t>
        </x:is>
      </x:c>
      <x:c r="G240" s="9" t="inlineStr">
        <x:is>
          <x:t xml:space="preserve">HYBRID_MODULAR</x:t>
        </x:is>
      </x:c>
      <x:c r="H240" s="15" t="n">
        <x:v>156</x:v>
      </x:c>
      <x:c r="I240" s="9" t="n">
        <x:v>4</x:v>
      </x:c>
      <x:c r="J240" s="9" t="n">
        <x:v>3</x:v>
      </x:c>
      <x:c r="K240" s="9" t="n">
        <x:v>2</x:v>
      </x:c>
      <x:c r="L240" s="9" t="n">
        <x:v>4</x:v>
      </x:c>
      <x:c r="M240" s="12" t="n">
        <x:v>2.4</x:v>
      </x:c>
      <x:c r="N240" s="9" t="inlineStr">
        <x:is>
          <x:t xml:space="preserve">Módulos de acero + paneles SIP</x:t>
        </x:is>
      </x:c>
      <x:c r="O240" s="10" t="inlineStr">
        <x:is>
          <x:t xml:space="preserve">Acero galvanizado o madera laminada + panel SIP MgO/OSB</x:t>
        </x:is>
      </x:c>
      <x:c r="P240" s="15" t="n">
        <x:v>160</x:v>
      </x:c>
      <x:c r="Q240" s="9" t="inlineStr">
        <x:is>
          <x:t xml:space="preserve">Lana mineral 75-100 mm o EPS integrado</x:t>
        </x:is>
      </x:c>
      <x:c r="R240" s="15" t="n">
        <x:v>75</x:v>
      </x:c>
      <x:c r="S240" s="10" t="inlineStr">
        <x:is>
          <x:t xml:space="preserve">Módulo volumétrico con cubierta panelizada</x:t>
        </x:is>
      </x:c>
      <x:c r="T240" s="15" t="n">
        <x:v>180</x:v>
      </x:c>
      <x:c r="U240" s="10" t="inlineStr">
        <x:is>
          <x:t xml:space="preserve">Lana mineral / EPS / barrera vapor</x:t>
        </x:is>
      </x:c>
      <x:c r="V240" s="9" t="inlineStr">
        <x:is>
          <x:t xml:space="preserve">Bastidor metálico o madera laminada</x:t>
        </x:is>
      </x:c>
      <x:c r="W240" s="10" t="inlineStr">
        <x:is>
          <x:t xml:space="preserve">Lana mineral 80-100 mm + fibrocemento</x:t>
        </x:is>
      </x:c>
      <x:c r="X240" s="9" t="inlineStr">
        <x:is>
          <x:t xml:space="preserve">PVC termopanel</x:t>
        </x:is>
      </x:c>
      <x:c r="Y240" s="9" t="inlineStr">
        <x:is>
          <x:t xml:space="preserve">Madera tratada</x:t>
        </x:is>
      </x:c>
      <x:c r="Z240" s="9" t="inlineStr">
        <x:is>
          <x:t xml:space="preserve">Melamina blanca</x:t>
        </x:is>
      </x:c>
      <x:c r="AA240" s="9" t="inlineStr">
        <x:is>
          <x:t xml:space="preserve">Radier</x:t>
        </x:is>
      </x:c>
      <x:c r="AB240" s="15" t="n">
        <x:v>6</x:v>
      </x:c>
      <x:c r="AC240" s="15" t="n">
        <x:v>8</x:v>
      </x:c>
      <x:c r="AD240" s="9" t="inlineStr">
        <x:is>
          <x:t xml:space="preserve">Oficina + vivienda</x:t>
        </x:is>
      </x:c>
      <x:c r="AE240" s="9" t="inlineStr">
        <x:is>
          <x:t xml:space="preserve">Centro templado</x:t>
        </x:is>
      </x:c>
      <x:c r="AF240" s="10" t="inlineStr">
        <x:is>
          <x:t xml:space="preserve">Criterios de prefabricación modular y coordinación BIM (referencial)</x:t>
        </x:is>
      </x:c>
      <x:c r="AG240" s="10" t="inlineStr">
        <x:is>
          <x:t xml:space="preserve">https://modul.cl/construccion-de-casas-prefabricadas-modulares/ | https://tecnofasthome.cl/casas-modulares/</x:t>
        </x:is>
      </x:c>
      <x:c r="AH240" s="10" t="inlineStr">
        <x:is>
          <x:t xml:space="preserve">Estructura: Estructura híbrida acero-madera panelizada; muros Acero galvanizado o madera laminada + panel SIP MgO/OSB de 160 mm con aislación Lana mineral 75-100 mm o EPS integrado (75 mm); cubierta Módulo volumétrico con cubierta panelizada de 180 mm; ventanas Aluminio termopanel; revestimiento exterior Plancha metálica; interior Melamina blanca; fundación sugerida Radier.</x:t>
        </x:is>
      </x:c>
    </x:row>
    <x:row r="241" ht="32" customHeight="1">
      <x:c r="A241" s="9" t="inlineStr">
        <x:is>
          <x:t xml:space="preserve">MOD-0240</x:t>
        </x:is>
      </x:c>
      <x:c r="B241" s="9" t="inlineStr">
        <x:is>
          <x:t xml:space="preserve">EMP-048</x:t>
        </x:is>
      </x:c>
      <x:c r="C241" s="9" t="inlineStr">
        <x:is>
          <x:t xml:space="preserve">Yelcho 192</x:t>
        </x:is>
      </x:c>
      <x:c r="D241" s="9" t="inlineStr">
        <x:is>
          <x:t xml:space="preserve">Yelcho</x:t>
        </x:is>
      </x:c>
      <x:c r="E241" s="9" t="inlineStr">
        <x:is>
          <x:t xml:space="preserve">Archipiélago</x:t>
        </x:is>
      </x:c>
      <x:c r="F241" s="9" t="inlineStr">
        <x:is>
          <x:t xml:space="preserve">Sí</x:t>
        </x:is>
      </x:c>
      <x:c r="G241" s="9" t="inlineStr">
        <x:is>
          <x:t xml:space="preserve">STEEL_FRAME</x:t>
        </x:is>
      </x:c>
      <x:c r="H241" s="15" t="n">
        <x:v>192</x:v>
      </x:c>
      <x:c r="I241" s="9" t="n">
        <x:v>4</x:v>
      </x:c>
      <x:c r="J241" s="9" t="n">
        <x:v>3</x:v>
      </x:c>
      <x:c r="K241" s="9" t="n">
        <x:v>2</x:v>
      </x:c>
      <x:c r="L241" s="9" t="n">
        <x:v>4</x:v>
      </x:c>
      <x:c r="M241" s="12" t="n">
        <x:v>2.5</x:v>
      </x:c>
      <x:c r="N241" s="9" t="inlineStr">
        <x:is>
          <x:t xml:space="preserve">Perfilería de acero galvanizado liviano</x:t>
        </x:is>
      </x:c>
      <x:c r="O241" s="10" t="inlineStr">
        <x:is>
          <x:t xml:space="preserve">Acero galvanizado + placa OSB/fibrocemento + cámara técnica</x:t>
        </x:is>
      </x:c>
      <x:c r="P241" s="15" t="n">
        <x:v>90</x:v>
      </x:c>
      <x:c r="Q241" s="9" t="inlineStr">
        <x:is>
          <x:t xml:space="preserve">Lana mineral o lana de roca / PET / EPS según zona térmica</x:t>
        </x:is>
      </x:c>
      <x:c r="R241" s="15" t="n">
        <x:v>100</x:v>
      </x:c>
      <x:c r="S241" s="10" t="inlineStr">
        <x:is>
          <x:t xml:space="preserve">Cerchas o paneles steel frame + cubierta metálica</x:t>
        </x:is>
      </x:c>
      <x:c r="T241" s="15" t="n">
        <x:v>180</x:v>
      </x:c>
      <x:c r="U241" s="10" t="inlineStr">
        <x:is>
          <x:t xml:space="preserve">Lana mineral / lana de roca + barrera de vapor</x:t>
        </x:is>
      </x:c>
      <x:c r="V241" s="9" t="inlineStr">
        <x:is>
          <x:t xml:space="preserve">Envigado metálico o plataforma estructural</x:t>
        </x:is>
      </x:c>
      <x:c r="W241" s="10" t="inlineStr">
        <x:is>
          <x:t xml:space="preserve">Lana mineral 50-100 mm + placas estructurales</x:t>
        </x:is>
      </x:c>
      <x:c r="X241" s="9" t="inlineStr">
        <x:is>
          <x:t xml:space="preserve">Aluminio RPT termopanel</x:t>
        </x:is>
      </x:c>
      <x:c r="Y241" s="9" t="inlineStr">
        <x:is>
          <x:t xml:space="preserve">Estuco sobre placa cementicia</x:t>
        </x:is>
      </x:c>
      <x:c r="Z241" s="9" t="inlineStr">
        <x:is>
          <x:t xml:space="preserve">Yeso cartón</x:t>
        </x:is>
      </x:c>
      <x:c r="AA241" s="9" t="inlineStr">
        <x:is>
          <x:t xml:space="preserve">Vigas de fundación y radier</x:t>
        </x:is>
      </x:c>
      <x:c r="AB241" s="15" t="n">
        <x:v>5</x:v>
      </x:c>
      <x:c r="AC241" s="15" t="n">
        <x:v>6</x:v>
      </x:c>
      <x:c r="AD241" s="9" t="inlineStr">
        <x:is>
          <x:t xml:space="preserve">Parcela</x:t>
        </x:is>
      </x:c>
      <x:c r="AE241" s="9" t="inlineStr">
        <x:is>
          <x:t xml:space="preserve">Centro templado</x:t>
        </x:is>
      </x:c>
      <x:c r="AF241" s="10" t="inlineStr">
        <x:is>
          <x:t xml:space="preserve">Criterio térmico referencial OGUC / reglamentación térmica vigente</x:t>
        </x:is>
      </x:c>
      <x:c r="AG241" s="10" t="inlineStr">
        <x:is>
          <x:t xml:space="preserve">https://www.steelframe.cl/ | https://vhaceros.cl/blog/steel-framing-principios-estructurales-y-ventajas-en-la-construccion-chilena/</x:t>
        </x:is>
      </x:c>
      <x:c r="AH241" s="10" t="inlineStr">
        <x:is>
          <x:t xml:space="preserve">Estructura: Panelizado steel frame industrializado; muros Acero galvanizado + placa OSB/fibrocemento + cámara técnica de 90 mm con aislación Lana mineral o lana de roca / PET / EPS según zona térmica (100 mm); cubierta Cerchas o paneles steel frame + cubierta metálica de 180 mm; ventanas PVC termopanel; revestimiento exterior Plancha metálica; interior MDF pintado; fundación sugerida Radier reforzado.</x:t>
        </x:is>
      </x:c>
    </x:row>
    <x:row r="242" ht="32" customHeight="1">
      <x:c r="A242" s="9" t="inlineStr">
        <x:is>
          <x:t xml:space="preserve">MOD-0241</x:t>
        </x:is>
      </x:c>
      <x:c r="B242" s="9" t="inlineStr">
        <x:is>
          <x:t xml:space="preserve">EMP-049</x:t>
        </x:is>
      </x:c>
      <x:c r="C242" s="9" t="inlineStr">
        <x:is>
          <x:t xml:space="preserve">Palena 48</x:t>
        </x:is>
      </x:c>
      <x:c r="D242" s="9" t="inlineStr">
        <x:is>
          <x:t xml:space="preserve">Palena</x:t>
        </x:is>
      </x:c>
      <x:c r="E242" s="9" t="inlineStr">
        <x:is>
          <x:t xml:space="preserve">Lago</x:t>
        </x:is>
      </x:c>
      <x:c r="F242" s="9" t="inlineStr">
        <x:is>
          <x:t xml:space="preserve">Sí</x:t>
        </x:is>
      </x:c>
      <x:c r="G242" s="9" t="inlineStr">
        <x:is>
          <x:t xml:space="preserve">CONTAINER</x:t>
        </x:is>
      </x:c>
      <x:c r="H242" s="15" t="n">
        <x:v>48</x:v>
      </x:c>
      <x:c r="I242" s="9" t="n">
        <x:v>2</x:v>
      </x:c>
      <x:c r="J242" s="9" t="n">
        <x:v>1</x:v>
      </x:c>
      <x:c r="K242" s="9" t="n">
        <x:v>1</x:v>
      </x:c>
      <x:c r="L242" s="9" t="n">
        <x:v>2</x:v>
      </x:c>
      <x:c r="M242" s="12" t="n">
        <x:v>2.35</x:v>
      </x:c>
      <x:c r="N242" s="9" t="inlineStr">
        <x:is>
          <x:t xml:space="preserve">Módulo habitacional de acero galvanizado / corten</x:t>
        </x:is>
      </x:c>
      <x:c r="O242" s="10" t="inlineStr">
        <x:is>
          <x:t xml:space="preserve">Estructura container + subestructura interior + revestimiento</x:t>
        </x:is>
      </x:c>
      <x:c r="P242" s="15" t="n">
        <x:v>110</x:v>
      </x:c>
      <x:c r="Q242" s="9" t="inlineStr">
        <x:is>
          <x:t xml:space="preserve">Poliuretano proyectado o EPS/Aislapol 40-60 mm</x:t>
        </x:is>
      </x:c>
      <x:c r="R242" s="15" t="n">
        <x:v>60</x:v>
      </x:c>
      <x:c r="S242" s="10" t="inlineStr">
        <x:is>
          <x:t xml:space="preserve">Cubierta metálica container + sobretecho ventilado opcional</x:t>
        </x:is>
      </x:c>
      <x:c r="T242" s="15" t="n">
        <x:v>100</x:v>
      </x:c>
      <x:c r="U242" s="10" t="inlineStr">
        <x:is>
          <x:t xml:space="preserve">Poliuretano / EPS + barrera anticondensación</x:t>
        </x:is>
      </x:c>
      <x:c r="V242" s="9" t="inlineStr">
        <x:is>
          <x:t xml:space="preserve">Piso terciado 18 mm o base original acondicionada + vinílico</x:t>
        </x:is>
      </x:c>
      <x:c r="W242" s="10" t="inlineStr">
        <x:is>
          <x:t xml:space="preserve">Aislación bajo piso 40-80 mm</x:t>
        </x:is>
      </x:c>
      <x:c r="X242" s="9" t="inlineStr">
        <x:is>
          <x:t xml:space="preserve">Aluminio termopanel</x:t>
        </x:is>
      </x:c>
      <x:c r="Y242" s="9" t="inlineStr">
        <x:is>
          <x:t xml:space="preserve">Acero galvanizado pintado</x:t>
        </x:is>
      </x:c>
      <x:c r="Z242" s="9" t="inlineStr">
        <x:is>
          <x:t xml:space="preserve">Melamina</x:t>
        </x:is>
      </x:c>
      <x:c r="AA242" s="9" t="inlineStr">
        <x:is>
          <x:t xml:space="preserve">Radier</x:t>
        </x:is>
      </x:c>
      <x:c r="AB242" s="15" t="n">
        <x:v>3</x:v>
      </x:c>
      <x:c r="AC242" s="15" t="n">
        <x:v>2</x:v>
      </x:c>
      <x:c r="AD242" s="9" t="inlineStr">
        <x:is>
          <x:t xml:space="preserve">Turismo / arriendo</x:t>
        </x:is>
      </x:c>
      <x:c r="AE242" s="9" t="inlineStr">
        <x:is>
          <x:t xml:space="preserve">Sur lluvioso</x:t>
        </x:is>
      </x:c>
      <x:c r="AF242" s="10" t="inlineStr">
        <x:is>
          <x:t xml:space="preserve">Criterios de aislación, ventilación y tratamiento anticorrosivo (referencial)</x:t>
        </x:is>
      </x:c>
      <x:c r="AG242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42" s="10" t="inlineStr">
        <x:is>
          <x:t xml:space="preserve">Estructura: Contenedor marítimo acondicionado; muros Estructura container + subestructura interior + revestimiento de 110 mm con aislación Poliuretano proyectado o EPS/Aislapol 40-60 mm (60 mm); cubierta Cubierta metálica container + sobretecho ventilado opcional de 100 mm; ventanas Aluminio termopanel; revestimiento exterior Acero galvanizado pintado; interior Melamina; fundación sugerida Dados de hormigón.</x:t>
        </x:is>
      </x:c>
    </x:row>
    <x:row r="243" ht="32" customHeight="1">
      <x:c r="A243" s="9" t="inlineStr">
        <x:is>
          <x:t xml:space="preserve">MOD-0242</x:t>
        </x:is>
      </x:c>
      <x:c r="B243" s="9" t="inlineStr">
        <x:is>
          <x:t xml:space="preserve">EMP-049</x:t>
        </x:is>
      </x:c>
      <x:c r="C243" s="9" t="inlineStr">
        <x:is>
          <x:t xml:space="preserve">Baker 96</x:t>
        </x:is>
      </x:c>
      <x:c r="D243" s="9" t="inlineStr">
        <x:is>
          <x:t xml:space="preserve">Baker</x:t>
        </x:is>
      </x:c>
      <x:c r="E243" s="9" t="inlineStr">
        <x:is>
          <x:t xml:space="preserve">Río</x:t>
        </x:is>
      </x:c>
      <x:c r="F243" s="9" t="inlineStr">
        <x:is>
          <x:t xml:space="preserve">Sí</x:t>
        </x:is>
      </x:c>
      <x:c r="G243" s="9" t="inlineStr">
        <x:is>
          <x:t xml:space="preserve">CONTAINER</x:t>
        </x:is>
      </x:c>
      <x:c r="H243" s="15" t="n">
        <x:v>96</x:v>
      </x:c>
      <x:c r="I243" s="9" t="n">
        <x:v>3</x:v>
      </x:c>
      <x:c r="J243" s="9" t="n">
        <x:v>2</x:v>
      </x:c>
      <x:c r="K243" s="9" t="n">
        <x:v>1</x:v>
      </x:c>
      <x:c r="L243" s="9" t="n">
        <x:v>3</x:v>
      </x:c>
      <x:c r="M243" s="12" t="n">
        <x:v>2.4</x:v>
      </x:c>
      <x:c r="N243" s="9" t="inlineStr">
        <x:is>
          <x:t xml:space="preserve">Módulo habitacional de acero galvanizado / corten</x:t>
        </x:is>
      </x:c>
      <x:c r="O243" s="10" t="inlineStr">
        <x:is>
          <x:t xml:space="preserve">Estructura container + subestructura interior + revestimiento</x:t>
        </x:is>
      </x:c>
      <x:c r="P243" s="15" t="n">
        <x:v>140</x:v>
      </x:c>
      <x:c r="Q243" s="9" t="inlineStr">
        <x:is>
          <x:t xml:space="preserve">Poliuretano proyectado o EPS/Aislapol 40-60 mm</x:t>
        </x:is>
      </x:c>
      <x:c r="R243" s="15" t="n">
        <x:v>50</x:v>
      </x:c>
      <x:c r="S243" s="10" t="inlineStr">
        <x:is>
          <x:t xml:space="preserve">Cubierta metálica container + sobretecho ventilado opcional</x:t>
        </x:is>
      </x:c>
      <x:c r="T243" s="15" t="n">
        <x:v>120</x:v>
      </x:c>
      <x:c r="U243" s="10" t="inlineStr">
        <x:is>
          <x:t xml:space="preserve">Poliuretano / EPS + barrera anticondensación</x:t>
        </x:is>
      </x:c>
      <x:c r="V243" s="9" t="inlineStr">
        <x:is>
          <x:t xml:space="preserve">Piso terciado 18 mm o base original acondicionada + vinílico</x:t>
        </x:is>
      </x:c>
      <x:c r="W243" s="10" t="inlineStr">
        <x:is>
          <x:t xml:space="preserve">Aislación bajo piso 40-80 mm</x:t>
        </x:is>
      </x:c>
      <x:c r="X243" s="9" t="inlineStr">
        <x:is>
          <x:t xml:space="preserve">Aluminio termopanel</x:t>
        </x:is>
      </x:c>
      <x:c r="Y243" s="9" t="inlineStr">
        <x:is>
          <x:t xml:space="preserve">Madera tratada ventilada</x:t>
        </x:is>
      </x:c>
      <x:c r="Z243" s="9" t="inlineStr">
        <x:is>
          <x:t xml:space="preserve">Madera pintada</x:t>
        </x:is>
      </x:c>
      <x:c r="AA243" s="9" t="inlineStr">
        <x:is>
          <x:t xml:space="preserve">Dados de hormigón</x:t>
        </x:is>
      </x:c>
      <x:c r="AB243" s="15" t="n">
        <x:v>5</x:v>
      </x:c>
      <x:c r="AC243" s="15" t="n">
        <x:v>2</x:v>
      </x:c>
      <x:c r="AD243" s="9" t="inlineStr">
        <x:is>
          <x:t xml:space="preserve">Parcela</x:t>
        </x:is>
      </x:c>
      <x:c r="AE243" s="9" t="inlineStr">
        <x:is>
          <x:t xml:space="preserve">Sur lluvioso</x:t>
        </x:is>
      </x:c>
      <x:c r="AF243" s="10" t="inlineStr">
        <x:is>
          <x:t xml:space="preserve">Criterios de aislación, ventilación y tratamiento anticorrosivo (referencial)</x:t>
        </x:is>
      </x:c>
      <x:c r="AG243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43" s="10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120 mm; ventanas Aluminio termopanel; revestimiento exterior Plancha metálica prepintada; interior Madera pintada; fundación sugerida Dados de hormigón.</x:t>
        </x:is>
      </x:c>
    </x:row>
    <x:row r="244" ht="32" customHeight="1">
      <x:c r="A244" s="9" t="inlineStr">
        <x:is>
          <x:t xml:space="preserve">MOD-0243</x:t>
        </x:is>
      </x:c>
      <x:c r="B244" s="9" t="inlineStr">
        <x:is>
          <x:t xml:space="preserve">EMP-049</x:t>
        </x:is>
      </x:c>
      <x:c r="C244" s="9" t="inlineStr">
        <x:is>
          <x:t xml:space="preserve">Pascua 104</x:t>
        </x:is>
      </x:c>
      <x:c r="D244" s="9" t="inlineStr">
        <x:is>
          <x:t xml:space="preserve">Pascua</x:t>
        </x:is>
      </x:c>
      <x:c r="E244" s="9" t="inlineStr">
        <x:is>
          <x:t xml:space="preserve">Río</x:t>
        </x:is>
      </x:c>
      <x:c r="F244" s="9" t="inlineStr">
        <x:is>
          <x:t xml:space="preserve">Sí</x:t>
        </x:is>
      </x:c>
      <x:c r="G244" s="9" t="inlineStr">
        <x:is>
          <x:t xml:space="preserve">HYBRID_MODULAR</x:t>
        </x:is>
      </x:c>
      <x:c r="H244" s="15" t="n">
        <x:v>104</x:v>
      </x:c>
      <x:c r="I244" s="9" t="n">
        <x:v>3</x:v>
      </x:c>
      <x:c r="J244" s="9" t="n">
        <x:v>2</x:v>
      </x:c>
      <x:c r="K244" s="9" t="n">
        <x:v>1</x:v>
      </x:c>
      <x:c r="L244" s="9" t="n">
        <x:v>3</x:v>
      </x:c>
      <x:c r="M244" s="12" t="n">
        <x:v>2.4</x:v>
      </x:c>
      <x:c r="N244" s="9" t="inlineStr">
        <x:is>
          <x:t xml:space="preserve">Módulos de acero + paneles SIP</x:t>
        </x:is>
      </x:c>
      <x:c r="O244" s="10" t="inlineStr">
        <x:is>
          <x:t xml:space="preserve">Acero galvanizado o madera laminada + panel SIP MgO/OSB</x:t>
        </x:is>
      </x:c>
      <x:c r="P244" s="15" t="n">
        <x:v>160</x:v>
      </x:c>
      <x:c r="Q244" s="9" t="inlineStr">
        <x:is>
          <x:t xml:space="preserve">Lana mineral 75-100 mm o EPS integrado</x:t>
        </x:is>
      </x:c>
      <x:c r="R244" s="15" t="n">
        <x:v>90</x:v>
      </x:c>
      <x:c r="S244" s="10" t="inlineStr">
        <x:is>
          <x:t xml:space="preserve">Módulo volumétrico con cubierta panelizada</x:t>
        </x:is>
      </x:c>
      <x:c r="T244" s="15" t="n">
        <x:v>180</x:v>
      </x:c>
      <x:c r="U244" s="10" t="inlineStr">
        <x:is>
          <x:t xml:space="preserve">Lana mineral / EPS / barrera vapor</x:t>
        </x:is>
      </x:c>
      <x:c r="V244" s="9" t="inlineStr">
        <x:is>
          <x:t xml:space="preserve">Bastidor metálico o madera laminada</x:t>
        </x:is>
      </x:c>
      <x:c r="W244" s="10" t="inlineStr">
        <x:is>
          <x:t xml:space="preserve">Lana mineral 80-100 mm + fibrocemento</x:t>
        </x:is>
      </x:c>
      <x:c r="X244" s="9" t="inlineStr">
        <x:is>
          <x:t xml:space="preserve">PVC termopanel</x:t>
        </x:is>
      </x:c>
      <x:c r="Y244" s="9" t="inlineStr">
        <x:is>
          <x:t xml:space="preserve">Plancha metálica</x:t>
        </x:is>
      </x:c>
      <x:c r="Z244" s="9" t="inlineStr">
        <x:is>
          <x:t xml:space="preserve">Yeso cartón pintado</x:t>
        </x:is>
      </x:c>
      <x:c r="AA244" s="9" t="inlineStr">
        <x:is>
          <x:t xml:space="preserve">Dados de hormigón</x:t>
        </x:is>
      </x:c>
      <x:c r="AB244" s="15" t="n">
        <x:v>5</x:v>
      </x:c>
      <x:c r="AC244" s="15" t="n">
        <x:v>10</x:v>
      </x:c>
      <x:c r="AD244" s="9" t="inlineStr">
        <x:is>
          <x:t xml:space="preserve">Loteo habitacional</x:t>
        </x:is>
      </x:c>
      <x:c r="AE244" s="9" t="inlineStr">
        <x:is>
          <x:t xml:space="preserve">Sur lluvioso</x:t>
        </x:is>
      </x:c>
      <x:c r="AF244" s="10" t="inlineStr">
        <x:is>
          <x:t xml:space="preserve">Criterios de prefabricación modular y coordinación BIM (referencial)</x:t>
        </x:is>
      </x:c>
      <x:c r="AG244" s="10" t="inlineStr">
        <x:is>
          <x:t xml:space="preserve">https://modul.cl/construccion-de-casas-prefabricadas-modulares/ | https://tecnofasthome.cl/casas-modulares/</x:t>
        </x:is>
      </x:c>
      <x:c r="AH244" s="10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180 mm; ventanas PVC termopanel; revestimiento exterior Plancha metálica; interior Yeso cartón pintado; fundación sugerida Radier.</x:t>
        </x:is>
      </x:c>
    </x:row>
    <x:row r="245" ht="32" customHeight="1">
      <x:c r="A245" s="9" t="inlineStr">
        <x:is>
          <x:t xml:space="preserve">MOD-0244</x:t>
        </x:is>
      </x:c>
      <x:c r="B245" s="9" t="inlineStr">
        <x:is>
          <x:t xml:space="preserve">EMP-049</x:t>
        </x:is>
      </x:c>
      <x:c r="C245" s="9" t="inlineStr">
        <x:is>
          <x:t xml:space="preserve">Aconcagua 132</x:t>
        </x:is>
      </x:c>
      <x:c r="D245" s="9" t="inlineStr">
        <x:is>
          <x:t xml:space="preserve">Aconcagua</x:t>
        </x:is>
      </x:c>
      <x:c r="E245" s="9" t="inlineStr">
        <x:is>
          <x:t xml:space="preserve">Río</x:t>
        </x:is>
      </x:c>
      <x:c r="F245" s="9" t="inlineStr">
        <x:is>
          <x:t xml:space="preserve">Sí</x:t>
        </x:is>
      </x:c>
      <x:c r="G245" s="9" t="inlineStr">
        <x:is>
          <x:t xml:space="preserve">SIP</x:t>
        </x:is>
      </x:c>
      <x:c r="H245" s="15" t="n">
        <x:v>132</x:v>
      </x:c>
      <x:c r="I245" s="9" t="n">
        <x:v>3</x:v>
      </x:c>
      <x:c r="J245" s="9" t="n">
        <x:v>2</x:v>
      </x:c>
      <x:c r="K245" s="9" t="n">
        <x:v>1</x:v>
      </x:c>
      <x:c r="L245" s="9" t="n">
        <x:v>3</x:v>
      </x:c>
      <x:c r="M245" s="12" t="n">
        <x:v>2.4</x:v>
      </x:c>
      <x:c r="N245" s="9" t="inlineStr">
        <x:is>
          <x:t xml:space="preserve">Panel SIP estructural OSB/EPS/OSB</x:t>
        </x:is>
      </x:c>
      <x:c r="O245" s="10" t="inlineStr">
        <x:is>
          <x:t xml:space="preserve">2 placas OSB estructural + núcleo EPS alta densidad</x:t>
        </x:is>
      </x:c>
      <x:c r="P245" s="15" t="n">
        <x:v>90</x:v>
      </x:c>
      <x:c r="Q245" s="9" t="inlineStr">
        <x:is>
          <x:t xml:space="preserve">EPS alta densidad 15 kg/m³</x:t>
        </x:is>
      </x:c>
      <x:c r="R245" s="15" t="n">
        <x:v>68</x:v>
      </x:c>
      <x:c r="S245" s="10" t="inlineStr">
        <x:is>
          <x:t xml:space="preserve">Panel SIP de cubierta + membrana hidrófuga + hojalatería</x:t>
        </x:is>
      </x:c>
      <x:c r="T245" s="15" t="n">
        <x:v>164</x:v>
      </x:c>
      <x:c r="U245" s="10" t="inlineStr">
        <x:is>
          <x:t xml:space="preserve">EPS integrado + sellos PU</x:t>
        </x:is>
      </x:c>
      <x:c r="V245" s="9" t="inlineStr">
        <x:is>
          <x:t xml:space="preserve">Base entramado madera o radier con barrera de humedad</x:t>
        </x:is>
      </x:c>
      <x:c r="W245" s="10" t="inlineStr">
        <x:is>
          <x:t xml:space="preserve">Aislación bajo piso PET o lana mineral 50-100 mm</x:t>
        </x:is>
      </x:c>
      <x:c r="X245" s="9" t="inlineStr">
        <x:is>
          <x:t xml:space="preserve">PVC DVH</x:t>
        </x:is>
      </x:c>
      <x:c r="Y245" s="9" t="inlineStr">
        <x:is>
          <x:t xml:space="preserve">Plancha metálica prepintada</x:t>
        </x:is>
      </x:c>
      <x:c r="Z245" s="9" t="inlineStr">
        <x:is>
          <x:t xml:space="preserve">MDF en zonas secas</x:t>
        </x:is>
      </x:c>
      <x:c r="AA245" s="9" t="inlineStr">
        <x:is>
          <x:t xml:space="preserve">Pilotes metálicos</x:t>
        </x:is>
      </x:c>
      <x:c r="AB245" s="15" t="n">
        <x:v>7</x:v>
      </x:c>
      <x:c r="AC245" s="15" t="n">
        <x:v>10</x:v>
      </x:c>
      <x:c r="AD245" s="9" t="inlineStr">
        <x:is>
          <x:t xml:space="preserve">Oficina + vivienda</x:t>
        </x:is>
      </x:c>
      <x:c r="AE245" s="9" t="inlineStr">
        <x:is>
          <x:t xml:space="preserve">Sur lluvioso</x:t>
        </x:is>
      </x:c>
      <x:c r="AF245" s="10" t="inlineStr">
        <x:is>
          <x:t xml:space="preserve">NCh3393:2016 (referencial para paneles SIP)</x:t>
        </x:is>
      </x:c>
      <x:c r="AG245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45" s="10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164 mm; ventanas PVC DVH; revestimiento exterior Madera tratada; interior Yeso cartón RH en zonas húmedas; fundación sugerida Sobrecimientos y radier.</x:t>
        </x:is>
      </x:c>
    </x:row>
    <x:row r="246" ht="32" customHeight="1">
      <x:c r="A246" s="9" t="inlineStr">
        <x:is>
          <x:t xml:space="preserve">MOD-0245</x:t>
        </x:is>
      </x:c>
      <x:c r="B246" s="9" t="inlineStr">
        <x:is>
          <x:t xml:space="preserve">EMP-049</x:t>
        </x:is>
      </x:c>
      <x:c r="C246" s="9" t="inlineStr">
        <x:is>
          <x:t xml:space="preserve">Choapa 210</x:t>
        </x:is>
      </x:c>
      <x:c r="D246" s="9" t="inlineStr">
        <x:is>
          <x:t xml:space="preserve">Choapa</x:t>
        </x:is>
      </x:c>
      <x:c r="E246" s="9" t="inlineStr">
        <x:is>
          <x:t xml:space="preserve">Lago</x:t>
        </x:is>
      </x:c>
      <x:c r="F246" s="9" t="inlineStr">
        <x:is>
          <x:t xml:space="preserve">Sí</x:t>
        </x:is>
      </x:c>
      <x:c r="G246" s="9" t="inlineStr">
        <x:is>
          <x:t xml:space="preserve">STEEL_FRAME</x:t>
        </x:is>
      </x:c>
      <x:c r="H246" s="15" t="n">
        <x:v>210</x:v>
      </x:c>
      <x:c r="I246" s="9" t="n">
        <x:v>4</x:v>
      </x:c>
      <x:c r="J246" s="9" t="n">
        <x:v>3</x:v>
      </x:c>
      <x:c r="K246" s="9" t="n">
        <x:v>2</x:v>
      </x:c>
      <x:c r="L246" s="9" t="n">
        <x:v>4</x:v>
      </x:c>
      <x:c r="M246" s="12" t="n">
        <x:v>2.4</x:v>
      </x:c>
      <x:c r="N246" s="9" t="inlineStr">
        <x:is>
          <x:t xml:space="preserve">Panelizado steel frame industrializado</x:t>
        </x:is>
      </x:c>
      <x:c r="O246" s="10" t="inlineStr">
        <x:is>
          <x:t xml:space="preserve">Acero galvanizado + placa OSB/fibrocemento + cámara técnica</x:t>
        </x:is>
      </x:c>
      <x:c r="P246" s="15" t="n">
        <x:v>140</x:v>
      </x:c>
      <x:c r="Q246" s="9" t="inlineStr">
        <x:is>
          <x:t xml:space="preserve">Lana mineral o lana de roca / PET / EPS según zona térmica</x:t>
        </x:is>
      </x:c>
      <x:c r="R246" s="15" t="n">
        <x:v>90</x:v>
      </x:c>
      <x:c r="S246" s="10" t="inlineStr">
        <x:is>
          <x:t xml:space="preserve">Cerchas o paneles steel frame + cubierta metálica</x:t>
        </x:is>
      </x:c>
      <x:c r="T246" s="15" t="n">
        <x:v>180</x:v>
      </x:c>
      <x:c r="U246" s="10" t="inlineStr">
        <x:is>
          <x:t xml:space="preserve">Lana mineral / lana de roca + barrera de vapor</x:t>
        </x:is>
      </x:c>
      <x:c r="V246" s="9" t="inlineStr">
        <x:is>
          <x:t xml:space="preserve">Envigado metálico o plataforma estructural</x:t>
        </x:is>
      </x:c>
      <x:c r="W246" s="10" t="inlineStr">
        <x:is>
          <x:t xml:space="preserve">Lana mineral 50-100 mm + placas estructurales</x:t>
        </x:is>
      </x:c>
      <x:c r="X246" s="9" t="inlineStr">
        <x:is>
          <x:t xml:space="preserve">Aluminio RPT termopanel</x:t>
        </x:is>
      </x:c>
      <x:c r="Y246" s="9" t="inlineStr">
        <x:is>
          <x:t xml:space="preserve">Plancha metálica</x:t>
        </x:is>
      </x:c>
      <x:c r="Z246" s="9" t="inlineStr">
        <x:is>
          <x:t xml:space="preserve">Yeso cartón RF</x:t>
        </x:is>
      </x:c>
      <x:c r="AA246" s="9" t="inlineStr">
        <x:is>
          <x:t xml:space="preserve">Pilotes</x:t>
        </x:is>
      </x:c>
      <x:c r="AB246" s="15" t="n">
        <x:v>6</x:v>
      </x:c>
      <x:c r="AC246" s="15" t="n">
        <x:v>11</x:v>
      </x:c>
      <x:c r="AD246" s="9" t="inlineStr">
        <x:is>
          <x:t xml:space="preserve">Loteo habitacional</x:t>
        </x:is>
      </x:c>
      <x:c r="AE246" s="9" t="inlineStr">
        <x:is>
          <x:t xml:space="preserve">Sur lluvioso</x:t>
        </x:is>
      </x:c>
      <x:c r="AF246" s="10" t="inlineStr">
        <x:is>
          <x:t xml:space="preserve">Criterio térmico referencial OGUC / reglamentación térmica vigente</x:t>
        </x:is>
      </x:c>
      <x:c r="AG246" s="10" t="inlineStr">
        <x:is>
          <x:t xml:space="preserve">https://www.steelframe.cl/ | https://vhaceros.cl/blog/steel-framing-principios-estructurales-y-ventajas-en-la-construccion-chilena/</x:t>
        </x:is>
      </x:c>
      <x:c r="AH246" s="10" t="inlineStr">
        <x:is>
          <x:t xml:space="preserve">Estructura: Panelizado steel frame industrializado; muros Acero galvanizado + placa OSB/fibrocemento + cámara técnica de 140 mm con aislación Lana mineral o lana de roca / PET / EPS según zona térmica (90 mm); cubierta Cerchas o paneles steel frame + cubierta metálica de 180 mm; ventanas Aluminio RPT termopanel; revestimiento exterior Estuco sobre placa cementicia; interior Yeso cartón RF; fundación sugerida Vigas de fundación y radier.</x:t>
        </x:is>
      </x:c>
    </x:row>
    <x:row r="247" ht="32" customHeight="1">
      <x:c r="A247" s="9" t="inlineStr">
        <x:is>
          <x:t xml:space="preserve">MOD-0246</x:t>
        </x:is>
      </x:c>
      <x:c r="B247" s="9" t="inlineStr">
        <x:is>
          <x:t xml:space="preserve">EMP-050</x:t>
        </x:is>
      </x:c>
      <x:c r="C247" s="9" t="inlineStr">
        <x:is>
          <x:t xml:space="preserve">Elqui 36</x:t>
        </x:is>
      </x:c>
      <x:c r="D247" s="9" t="inlineStr">
        <x:is>
          <x:t xml:space="preserve">Elqui</x:t>
        </x:is>
      </x:c>
      <x:c r="E247" s="9" t="inlineStr">
        <x:is>
          <x:t xml:space="preserve">Lago</x:t>
        </x:is>
      </x:c>
      <x:c r="F247" s="9" t="inlineStr">
        <x:is>
          <x:t xml:space="preserve">Sí</x:t>
        </x:is>
      </x:c>
      <x:c r="G247" s="9" t="inlineStr">
        <x:is>
          <x:t xml:space="preserve">STEEL_FRAME</x:t>
        </x:is>
      </x:c>
      <x:c r="H247" s="15" t="n">
        <x:v>36</x:v>
      </x:c>
      <x:c r="I247" s="9" t="n">
        <x:v>1</x:v>
      </x:c>
      <x:c r="J247" s="9" t="n">
        <x:v>1</x:v>
      </x:c>
      <x:c r="K247" s="9" t="n">
        <x:v>1</x:v>
      </x:c>
      <x:c r="L247" s="9" t="n">
        <x:v>1</x:v>
      </x:c>
      <x:c r="M247" s="12" t="n">
        <x:v>2.45</x:v>
      </x:c>
      <x:c r="N247" s="9" t="inlineStr">
        <x:is>
          <x:t xml:space="preserve">Perfilería de acero galvanizado liviano</x:t>
        </x:is>
      </x:c>
      <x:c r="O247" s="10" t="inlineStr">
        <x:is>
          <x:t xml:space="preserve">Acero galvanizado + placa OSB/fibrocemento + cámara técnica</x:t>
        </x:is>
      </x:c>
      <x:c r="P247" s="15" t="n">
        <x:v>90</x:v>
      </x:c>
      <x:c r="Q247" s="9" t="inlineStr">
        <x:is>
          <x:t xml:space="preserve">Lana mineral o lana de roca / PET / EPS según zona térmica</x:t>
        </x:is>
      </x:c>
      <x:c r="R247" s="15" t="n">
        <x:v>90</x:v>
      </x:c>
      <x:c r="S247" s="10" t="inlineStr">
        <x:is>
          <x:t xml:space="preserve">Cerchas o paneles steel frame + cubierta metálica</x:t>
        </x:is>
      </x:c>
      <x:c r="T247" s="15" t="n">
        <x:v>180</x:v>
      </x:c>
      <x:c r="U247" s="10" t="inlineStr">
        <x:is>
          <x:t xml:space="preserve">Lana mineral / lana de roca + barrera de vapor</x:t>
        </x:is>
      </x:c>
      <x:c r="V247" s="9" t="inlineStr">
        <x:is>
          <x:t xml:space="preserve">Envigado metálico o plataforma estructural</x:t>
        </x:is>
      </x:c>
      <x:c r="W247" s="10" t="inlineStr">
        <x:is>
          <x:t xml:space="preserve">Lana mineral 50-100 mm + placas estructurales</x:t>
        </x:is>
      </x:c>
      <x:c r="X247" s="9" t="inlineStr">
        <x:is>
          <x:t xml:space="preserve">Aluminio RPT termopanel</x:t>
        </x:is>
      </x:c>
      <x:c r="Y247" s="9" t="inlineStr">
        <x:is>
          <x:t xml:space="preserve">Estuco sobre placa cementicia</x:t>
        </x:is>
      </x:c>
      <x:c r="Z247" s="9" t="inlineStr">
        <x:is>
          <x:t xml:space="preserve">MDF pintado</x:t>
        </x:is>
      </x:c>
      <x:c r="AA247" s="9" t="inlineStr">
        <x:is>
          <x:t xml:space="preserve">Vigas de fundación y radier</x:t>
        </x:is>
      </x:c>
      <x:c r="AB247" s="15" t="n">
        <x:v>4</x:v>
      </x:c>
      <x:c r="AC247" s="15" t="n">
        <x:v>14</x:v>
      </x:c>
      <x:c r="AD247" s="9" t="inlineStr">
        <x:is>
          <x:t xml:space="preserve">Oficina + vivienda</x:t>
        </x:is>
      </x:c>
      <x:c r="AE247" s="9" t="inlineStr">
        <x:is>
          <x:t xml:space="preserve">Centro-sur templado lluvioso</x:t>
        </x:is>
      </x:c>
      <x:c r="AF247" s="10" t="inlineStr">
        <x:is>
          <x:t xml:space="preserve">Criterio térmico referencial OGUC / reglamentación térmica vigente</x:t>
        </x:is>
      </x:c>
      <x:c r="AG247" s="10" t="inlineStr">
        <x:is>
          <x:t xml:space="preserve">https://www.steelframe.cl/ | https://vhaceros.cl/blog/steel-framing-principios-estructurales-y-ventajas-en-la-construccion-chilena/</x:t>
        </x:is>
      </x:c>
      <x:c r="AH247" s="10" t="inlineStr">
        <x:is>
          <x:t xml:space="preserve">Estructura: Perfilería de acero galvanizado liviano; muros Acero galvanizado + placa OSB/fibrocemento + cámara técnica de 90 mm con aislación Lana mineral o lana de roca / PET / EPS según zona térmica (90 mm); cubierta Cerchas o paneles steel frame + cubierta metálica de 180 mm; ventanas Aluminio RPT termopanel; revestimiento exterior Siding fibrocemento; interior Yeso cartón RF; fundación sugerida Radier reforzado.</x:t>
        </x:is>
      </x:c>
    </x:row>
    <x:row r="248" ht="32" customHeight="1">
      <x:c r="A248" s="9" t="inlineStr">
        <x:is>
          <x:t xml:space="preserve">MOD-0247</x:t>
        </x:is>
      </x:c>
      <x:c r="B248" s="9" t="inlineStr">
        <x:is>
          <x:t xml:space="preserve">EMP-050</x:t>
        </x:is>
      </x:c>
      <x:c r="C248" s="9" t="inlineStr">
        <x:is>
          <x:t xml:space="preserve">Limarí 104</x:t>
        </x:is>
      </x:c>
      <x:c r="D248" s="9" t="inlineStr">
        <x:is>
          <x:t xml:space="preserve">Limarí</x:t>
        </x:is>
      </x:c>
      <x:c r="E248" s="9" t="inlineStr">
        <x:is>
          <x:t xml:space="preserve">Lago</x:t>
        </x:is>
      </x:c>
      <x:c r="F248" s="9" t="inlineStr">
        <x:is>
          <x:t xml:space="preserve">Sí</x:t>
        </x:is>
      </x:c>
      <x:c r="G248" s="9" t="inlineStr">
        <x:is>
          <x:t xml:space="preserve">STEEL_FRAME</x:t>
        </x:is>
      </x:c>
      <x:c r="H248" s="15" t="n">
        <x:v>104</x:v>
      </x:c>
      <x:c r="I248" s="9" t="n">
        <x:v>3</x:v>
      </x:c>
      <x:c r="J248" s="9" t="n">
        <x:v>2</x:v>
      </x:c>
      <x:c r="K248" s="9" t="n">
        <x:v>1</x:v>
      </x:c>
      <x:c r="L248" s="9" t="n">
        <x:v>3</x:v>
      </x:c>
      <x:c r="M248" s="12" t="n">
        <x:v>2.4</x:v>
      </x:c>
      <x:c r="N248" s="9" t="inlineStr">
        <x:is>
          <x:t xml:space="preserve">Panelizado steel frame industrializado</x:t>
        </x:is>
      </x:c>
      <x:c r="O248" s="10" t="inlineStr">
        <x:is>
          <x:t xml:space="preserve">Acero galvanizado + placa OSB/fibrocemento + cámara técnica</x:t>
        </x:is>
      </x:c>
      <x:c r="P248" s="15" t="n">
        <x:v>110</x:v>
      </x:c>
      <x:c r="Q248" s="9" t="inlineStr">
        <x:is>
          <x:t xml:space="preserve">Lana mineral o lana de roca / PET / EPS según zona térmica</x:t>
        </x:is>
      </x:c>
      <x:c r="R248" s="15" t="n">
        <x:v>60</x:v>
      </x:c>
      <x:c r="S248" s="10" t="inlineStr">
        <x:is>
          <x:t xml:space="preserve">Cerchas o paneles steel frame + cubierta metálica</x:t>
        </x:is>
      </x:c>
      <x:c r="T248" s="15" t="n">
        <x:v>120</x:v>
      </x:c>
      <x:c r="U248" s="10" t="inlineStr">
        <x:is>
          <x:t xml:space="preserve">Lana mineral / lana de roca + barrera de vapor</x:t>
        </x:is>
      </x:c>
      <x:c r="V248" s="9" t="inlineStr">
        <x:is>
          <x:t xml:space="preserve">Envigado metálico o plataforma estructural</x:t>
        </x:is>
      </x:c>
      <x:c r="W248" s="10" t="inlineStr">
        <x:is>
          <x:t xml:space="preserve">Lana mineral 50-100 mm + placas estructurales</x:t>
        </x:is>
      </x:c>
      <x:c r="X248" s="9" t="inlineStr">
        <x:is>
          <x:t xml:space="preserve">Aluminio RPT termopanel</x:t>
        </x:is>
      </x:c>
      <x:c r="Y248" s="9" t="inlineStr">
        <x:is>
          <x:t xml:space="preserve">Siding fibrocemento</x:t>
        </x:is>
      </x:c>
      <x:c r="Z248" s="9" t="inlineStr">
        <x:is>
          <x:t xml:space="preserve">MDF pintado</x:t>
        </x:is>
      </x:c>
      <x:c r="AA248" s="9" t="inlineStr">
        <x:is>
          <x:t xml:space="preserve">Pilotes</x:t>
        </x:is>
      </x:c>
      <x:c r="AB248" s="15" t="n">
        <x:v>7</x:v>
      </x:c>
      <x:c r="AC248" s="15" t="n">
        <x:v>11</x:v>
      </x:c>
      <x:c r="AD248" s="9" t="inlineStr">
        <x:is>
          <x:t xml:space="preserve">Oficina + vivienda</x:t>
        </x:is>
      </x:c>
      <x:c r="AE248" s="9" t="inlineStr">
        <x:is>
          <x:t xml:space="preserve">Centro-sur templado lluvioso</x:t>
        </x:is>
      </x:c>
      <x:c r="AF248" s="10" t="inlineStr">
        <x:is>
          <x:t xml:space="preserve">Criterio térmico referencial OGUC / reglamentación térmica vigente</x:t>
        </x:is>
      </x:c>
      <x:c r="AG248" s="10" t="inlineStr">
        <x:is>
          <x:t xml:space="preserve">https://www.steelframe.cl/ | https://vhaceros.cl/blog/steel-framing-principios-estructurales-y-ventajas-en-la-construccion-chilena/</x:t>
        </x:is>
      </x:c>
      <x:c r="AH248" s="10" t="inlineStr">
        <x:is>
          <x:t xml:space="preserve">Estructura: Perfilería de acero galvanizado liviano; muros Acero galvanizado + placa OSB/fibrocemento + cámara técnica de 110 mm con aislación Lana mineral o lana de roca / PET / EPS según zona térmica (60 mm); cubierta Cerchas o paneles steel frame + cubierta metálica de 120 mm; ventanas PVC termopanel; revestimiento exterior Plancha metálica; interior Yeso cartón RF; fundación sugerida Vigas de fundación y radier.</x:t>
        </x:is>
      </x:c>
    </x:row>
    <x:row r="249" ht="32" customHeight="1">
      <x:c r="A249" s="9" t="inlineStr">
        <x:is>
          <x:t xml:space="preserve">MOD-0248</x:t>
        </x:is>
      </x:c>
      <x:c r="B249" s="9" t="inlineStr">
        <x:is>
          <x:t xml:space="preserve">EMP-050</x:t>
        </x:is>
      </x:c>
      <x:c r="C249" s="9" t="inlineStr">
        <x:is>
          <x:t xml:space="preserve">Huasco 80</x:t>
        </x:is>
      </x:c>
      <x:c r="D249" s="9" t="inlineStr">
        <x:is>
          <x:t xml:space="preserve">Huasco</x:t>
        </x:is>
      </x:c>
      <x:c r="E249" s="9" t="inlineStr">
        <x:is>
          <x:t xml:space="preserve">Río</x:t>
        </x:is>
      </x:c>
      <x:c r="F249" s="9" t="inlineStr">
        <x:is>
          <x:t xml:space="preserve">Sí</x:t>
        </x:is>
      </x:c>
      <x:c r="G249" s="9" t="inlineStr">
        <x:is>
          <x:t xml:space="preserve">SIP</x:t>
        </x:is>
      </x:c>
      <x:c r="H249" s="15" t="n">
        <x:v>80</x:v>
      </x:c>
      <x:c r="I249" s="9" t="n">
        <x:v>3</x:v>
      </x:c>
      <x:c r="J249" s="9" t="n">
        <x:v>2</x:v>
      </x:c>
      <x:c r="K249" s="9" t="n">
        <x:v>1</x:v>
      </x:c>
      <x:c r="L249" s="9" t="n">
        <x:v>2</x:v>
      </x:c>
      <x:c r="M249" s="12" t="n">
        <x:v>2.35</x:v>
      </x:c>
      <x:c r="N249" s="9" t="inlineStr">
        <x:is>
          <x:t xml:space="preserve">Panel SIP estructural con uniones en pino seco</x:t>
        </x:is>
      </x:c>
      <x:c r="O249" s="10" t="inlineStr">
        <x:is>
          <x:t xml:space="preserve">2 placas OSB estructural + núcleo EPS alta densidad</x:t>
        </x:is>
      </x:c>
      <x:c r="P249" s="15" t="n">
        <x:v>75</x:v>
      </x:c>
      <x:c r="Q249" s="9" t="inlineStr">
        <x:is>
          <x:t xml:space="preserve">EPS alta densidad 15 kg/m³</x:t>
        </x:is>
      </x:c>
      <x:c r="R249" s="15" t="n">
        <x:v>92</x:v>
      </x:c>
      <x:c r="S249" s="10" t="inlineStr">
        <x:is>
          <x:t xml:space="preserve">Panel SIP de cubierta + membrana hidrófuga + hojalatería</x:t>
        </x:is>
      </x:c>
      <x:c r="T249" s="15" t="n">
        <x:v>130</x:v>
      </x:c>
      <x:c r="U249" s="10" t="inlineStr">
        <x:is>
          <x:t xml:space="preserve">EPS integrado + sellos PU</x:t>
        </x:is>
      </x:c>
      <x:c r="V249" s="9" t="inlineStr">
        <x:is>
          <x:t xml:space="preserve">Base entramado madera o radier con barrera de humedad</x:t>
        </x:is>
      </x:c>
      <x:c r="W249" s="10" t="inlineStr">
        <x:is>
          <x:t xml:space="preserve">Aislación bajo piso PET o lana mineral 50-100 mm</x:t>
        </x:is>
      </x:c>
      <x:c r="X249" s="9" t="inlineStr">
        <x:is>
          <x:t xml:space="preserve">Aluminio con termopanel</x:t>
        </x:is>
      </x:c>
      <x:c r="Y249" s="9" t="inlineStr">
        <x:is>
          <x:t xml:space="preserve">Plancha metálica prepintada</x:t>
        </x:is>
      </x:c>
      <x:c r="Z249" s="9" t="inlineStr">
        <x:is>
          <x:t xml:space="preserve">Yeso cartón RH en zonas húmedas</x:t>
        </x:is>
      </x:c>
      <x:c r="AA249" s="9" t="inlineStr">
        <x:is>
          <x:t xml:space="preserve">Radier afinado</x:t>
        </x:is>
      </x:c>
      <x:c r="AB249" s="15" t="n">
        <x:v>4</x:v>
      </x:c>
      <x:c r="AC249" s="15" t="n">
        <x:v>11</x:v>
      </x:c>
      <x:c r="AD249" s="9" t="inlineStr">
        <x:is>
          <x:t xml:space="preserve">Cabaña permanente</x:t>
        </x:is>
      </x:c>
      <x:c r="AE249" s="9" t="inlineStr">
        <x:is>
          <x:t xml:space="preserve">Centro-sur templado lluvioso</x:t>
        </x:is>
      </x:c>
      <x:c r="AF249" s="10" t="inlineStr">
        <x:is>
          <x:t xml:space="preserve">NCh3393:2016 (referencial para paneles SIP)</x:t>
        </x:is>
      </x:c>
      <x:c r="AG249" s="10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49" s="10" t="inlineStr">
        <x:is>
          <x:t xml:space="preserve">Estructura: Panel SIP estructural OSB/EPS/OSB; muros 2 placas OSB estructural + núcleo EPS alta densidad de 75 mm con aislación EPS alta densidad 15 kg/m³ (92 mm); cubierta Panel SIP de cubierta + membrana hidrófuga + hojalatería de 130 mm; ventanas PVC DVH; revestimiento exterior Madera tratada; interior Yeso cartón pintado; fundación sugerida Sobrecimientos y radier.</x:t>
        </x:is>
      </x:c>
    </x:row>
    <x:row r="250" ht="32" customHeight="1">
      <x:c r="A250" s="9" t="inlineStr">
        <x:is>
          <x:t xml:space="preserve">MOD-0249</x:t>
        </x:is>
      </x:c>
      <x:c r="B250" s="9" t="inlineStr">
        <x:is>
          <x:t xml:space="preserve">EMP-050</x:t>
        </x:is>
      </x:c>
      <x:c r="C250" s="9" t="inlineStr">
        <x:is>
          <x:t xml:space="preserve">Copiapó 132</x:t>
        </x:is>
      </x:c>
      <x:c r="D250" s="9" t="inlineStr">
        <x:is>
          <x:t xml:space="preserve">Copiapó</x:t>
        </x:is>
      </x:c>
      <x:c r="E250" s="9" t="inlineStr">
        <x:is>
          <x:t xml:space="preserve">Lago</x:t>
        </x:is>
      </x:c>
      <x:c r="F250" s="9" t="inlineStr">
        <x:is>
          <x:t xml:space="preserve">Sí</x:t>
        </x:is>
      </x:c>
      <x:c r="G250" s="9" t="inlineStr">
        <x:is>
          <x:t xml:space="preserve">MODULAR_TIMBER</x:t>
        </x:is>
      </x:c>
      <x:c r="H250" s="15" t="n">
        <x:v>132</x:v>
      </x:c>
      <x:c r="I250" s="9" t="n">
        <x:v>3</x:v>
      </x:c>
      <x:c r="J250" s="9" t="n">
        <x:v>2</x:v>
      </x:c>
      <x:c r="K250" s="9" t="n">
        <x:v>1</x:v>
      </x:c>
      <x:c r="L250" s="9" t="n">
        <x:v>3</x:v>
      </x:c>
      <x:c r="M250" s="12" t="n">
        <x:v>2.4</x:v>
      </x:c>
      <x:c r="N250" s="9" t="inlineStr">
        <x:is>
          <x:t xml:space="preserve">Entramado ligero en pino impregnado</x:t>
        </x:is>
      </x:c>
      <x:c r="O250" s="10" t="inlineStr">
        <x:is>
          <x:t xml:space="preserve">Madera estructural + OSB / terciado + barrera hidrófuga</x:t>
        </x:is>
      </x:c>
      <x:c r="P250" s="15" t="n">
        <x:v>140</x:v>
      </x:c>
      <x:c r="Q250" s="9" t="inlineStr">
        <x:is>
          <x:t xml:space="preserve">Lana mineral / lana de vidrio / PET reciclado</x:t>
        </x:is>
      </x:c>
      <x:c r="R250" s="15" t="n">
        <x:v>60</x:v>
      </x:c>
      <x:c r="S250" s="10" t="inlineStr">
        <x:is>
          <x:t xml:space="preserve">Cercha de madera + cubierta metálica o tejuela asfáltica</x:t>
        </x:is>
      </x:c>
      <x:c r="T250" s="15" t="n">
        <x:v>150</x:v>
      </x:c>
      <x:c r="U250" s="10" t="inlineStr">
        <x:is>
          <x:t xml:space="preserve">Lana mineral 80-140 mm + membrana</x:t>
        </x:is>
      </x:c>
      <x:c r="V250" s="9" t="inlineStr">
        <x:is>
          <x:t xml:space="preserve">Plataforma de madera estructural o radier</x:t>
        </x:is>
      </x:c>
      <x:c r="W250" s="10" t="inlineStr">
        <x:is>
          <x:t xml:space="preserve">Lana mineral 50-100 mm / barrera humedad</x:t>
        </x:is>
      </x:c>
      <x:c r="X250" s="9" t="inlineStr">
        <x:is>
          <x:t xml:space="preserve">Aluminio termopanel</x:t>
        </x:is>
      </x:c>
      <x:c r="Y250" s="9" t="inlineStr">
        <x:is>
          <x:t xml:space="preserve">Siding fibrocemento</x:t>
        </x:is>
      </x:c>
      <x:c r="Z250" s="9" t="inlineStr">
        <x:is>
          <x:t xml:space="preserve">Terciado pintado</x:t>
        </x:is>
      </x:c>
      <x:c r="AA250" s="9" t="inlineStr">
        <x:is>
          <x:t xml:space="preserve">Radier</x:t>
        </x:is>
      </x:c>
      <x:c r="AB250" s="15" t="n">
        <x:v>8</x:v>
      </x:c>
      <x:c r="AC250" s="15" t="n">
        <x:v>7</x:v>
      </x:c>
      <x:c r="AD250" s="9" t="inlineStr">
        <x:is>
          <x:t xml:space="preserve">Oficina + vivienda</x:t>
        </x:is>
      </x:c>
      <x:c r="AE250" s="9" t="inlineStr">
        <x:is>
          <x:t xml:space="preserve">Centro-sur templado lluvioso</x:t>
        </x:is>
      </x:c>
      <x:c r="AF250" s="10" t="inlineStr">
        <x:is>
          <x:t xml:space="preserve">Especificaciones técnicas de vivienda industrializada en madera (referencial)</x:t>
        </x:is>
      </x:c>
      <x:c r="AG250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50" s="10" t="inlineStr">
        <x:is>
          <x:t xml:space="preserve">Estructura: Wood frame modular; muros Madera estructural + OSB / terciado + barrera hidrófuga de 140 mm con aislación Lana mineral / lana de vidrio / PET reciclado (60 mm); cubierta Cercha de madera + cubierta metálica o tejuela asfáltica de 150 mm; ventanas PVC termopanel; revestimiento exterior Siding fibrocemento; interior Terciado pintado; fundación sugerida Radier.</x:t>
        </x:is>
      </x:c>
    </x:row>
    <x:row r="251" ht="32" customHeight="1">
      <x:c r="A251" s="9" t="inlineStr">
        <x:is>
          <x:t xml:space="preserve">MOD-0250</x:t>
        </x:is>
      </x:c>
      <x:c r="B251" s="9" t="inlineStr">
        <x:is>
          <x:t xml:space="preserve">EMP-050</x:t>
        </x:is>
      </x:c>
      <x:c r="C251" s="9" t="inlineStr">
        <x:is>
          <x:t xml:space="preserve">Loa 176</x:t>
        </x:is>
      </x:c>
      <x:c r="D251" s="9" t="inlineStr">
        <x:is>
          <x:t xml:space="preserve">Loa</x:t>
        </x:is>
      </x:c>
      <x:c r="E251" s="9" t="inlineStr">
        <x:is>
          <x:t xml:space="preserve">Río</x:t>
        </x:is>
      </x:c>
      <x:c r="F251" s="9" t="inlineStr">
        <x:is>
          <x:t xml:space="preserve">Sí</x:t>
        </x:is>
      </x:c>
      <x:c r="G251" s="9" t="inlineStr">
        <x:is>
          <x:t xml:space="preserve">HYBRID_MODULAR</x:t>
        </x:is>
      </x:c>
      <x:c r="H251" s="15" t="n">
        <x:v>176</x:v>
      </x:c>
      <x:c r="I251" s="9" t="n">
        <x:v>4</x:v>
      </x:c>
      <x:c r="J251" s="9" t="n">
        <x:v>3</x:v>
      </x:c>
      <x:c r="K251" s="9" t="n">
        <x:v>1</x:v>
      </x:c>
      <x:c r="L251" s="9" t="n">
        <x:v>4</x:v>
      </x:c>
      <x:c r="M251" s="12" t="n">
        <x:v>2.5</x:v>
      </x:c>
      <x:c r="N251" s="9" t="inlineStr">
        <x:is>
          <x:t xml:space="preserve">Estructura híbrida acero-madera panelizada</x:t>
        </x:is>
      </x:c>
      <x:c r="O251" s="10" t="inlineStr">
        <x:is>
          <x:t xml:space="preserve">Acero galvanizado o madera laminada + panel SIP MgO/OSB</x:t>
        </x:is>
      </x:c>
      <x:c r="P251" s="15" t="n">
        <x:v>160</x:v>
      </x:c>
      <x:c r="Q251" s="9" t="inlineStr">
        <x:is>
          <x:t xml:space="preserve">Lana mineral 75-100 mm o EPS integrado</x:t>
        </x:is>
      </x:c>
      <x:c r="R251" s="15" t="n">
        <x:v>90</x:v>
      </x:c>
      <x:c r="S251" s="10" t="inlineStr">
        <x:is>
          <x:t xml:space="preserve">Módulo volumétrico con cubierta panelizada</x:t>
        </x:is>
      </x:c>
      <x:c r="T251" s="15" t="n">
        <x:v>160</x:v>
      </x:c>
      <x:c r="U251" s="10" t="inlineStr">
        <x:is>
          <x:t xml:space="preserve">Lana mineral / EPS / barrera vapor</x:t>
        </x:is>
      </x:c>
      <x:c r="V251" s="9" t="inlineStr">
        <x:is>
          <x:t xml:space="preserve">Bastidor metálico o madera laminada</x:t>
        </x:is>
      </x:c>
      <x:c r="W251" s="10" t="inlineStr">
        <x:is>
          <x:t xml:space="preserve">Lana mineral 80-100 mm + fibrocemento</x:t>
        </x:is>
      </x:c>
      <x:c r="X251" s="9" t="inlineStr">
        <x:is>
          <x:t xml:space="preserve">PVC termopanel</x:t>
        </x:is>
      </x:c>
      <x:c r="Y251" s="9" t="inlineStr">
        <x:is>
          <x:t xml:space="preserve">Madera tratada</x:t>
        </x:is>
      </x:c>
      <x:c r="Z251" s="9" t="inlineStr">
        <x:is>
          <x:t xml:space="preserve">Yeso cartón RH</x:t>
        </x:is>
      </x:c>
      <x:c r="AA251" s="9" t="inlineStr">
        <x:is>
          <x:t xml:space="preserve">Radier</x:t>
        </x:is>
      </x:c>
      <x:c r="AB251" s="15" t="n">
        <x:v>6</x:v>
      </x:c>
      <x:c r="AC251" s="15" t="n">
        <x:v>5</x:v>
      </x:c>
      <x:c r="AD251" s="9" t="inlineStr">
        <x:is>
          <x:t xml:space="preserve">Cabaña permanente</x:t>
        </x:is>
      </x:c>
      <x:c r="AE251" s="9" t="inlineStr">
        <x:is>
          <x:t xml:space="preserve">Centro-sur templado lluvioso</x:t>
        </x:is>
      </x:c>
      <x:c r="AF251" s="10" t="inlineStr">
        <x:is>
          <x:t xml:space="preserve">Criterios de prefabricación modular y coordinación BIM (referencial)</x:t>
        </x:is>
      </x:c>
      <x:c r="AG251" s="10" t="inlineStr">
        <x:is>
          <x:t xml:space="preserve">https://modul.cl/construccion-de-casas-prefabricadas-modulares/ | https://tecnofasthome.cl/casas-modulares/</x:t>
        </x:is>
      </x:c>
      <x:c r="AH251" s="10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160 mm; ventanas PVC termopanel; revestimiento exterior Madera tratada; interior Yeso cartón RH; fundación sugerida Dados de hormigón.</x:t>
        </x:is>
      </x:c>
    </x:row>
  </x:sheetData>
  <x:pageMargins left="0.7" right="0.7" top="0.75" bottom="0.75" header="0.3" footer="0.3"/>
  <x:legacyDrawing xmlns:r="http://schemas.openxmlformats.org/officeDocument/2006/relationships" r:id="R1d7ec07e1679452f"/>
  <x:tableParts count="1">
    <x:tablePart xmlns:r="http://schemas.openxmlformats.org/officeDocument/2006/relationships" r:id="R55297eebd17348f6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2" customWidth="1"/>
    <x:col min="4" max="4" width="26" customWidth="1"/>
    <x:col min="5" max="5" width="18" customWidth="1"/>
    <x:col min="6" max="6" width="30" customWidth="1"/>
    <x:col min="7" max="7" width="15" customWidth="1"/>
    <x:col min="8" max="8" width="20" customWidth="1"/>
    <x:col min="9" max="9" width="36" customWidth="1"/>
    <x:col min="10" max="10" width="21" customWidth="1"/>
    <x:col min="11" max="11" width="16" customWidth="1"/>
    <x:col min="12" max="12" width="38" customWidth="1"/>
    <x:col min="13" max="13" width="12" customWidth="1"/>
    <x:col min="14" max="14" width="12" customWidth="1"/>
    <x:col min="15" max="15" width="27" customWidth="1"/>
    <x:col min="16" max="16" width="28" customWidth="1"/>
    <x:col min="17" max="17" width="19" customWidth="1"/>
    <x:col min="18" max="18" width="22" customWidth="1"/>
    <x:col min="19" max="19" width="16" customWidth="1"/>
  </x:cols>
  <x:sheetData>
    <x:row r="1">
      <x:c r="A1" s="7" t="inlineStr">
        <x:is>
          <x:t xml:space="preserve">proyecto_id</x:t>
        </x:is>
      </x:c>
      <x:c r="B1" s="7" t="inlineStr">
        <x:is>
          <x:t xml:space="preserve">empresa_id</x:t>
        </x:is>
      </x:c>
      <x:c r="C1" s="7" t="inlineStr">
        <x:is>
          <x:t xml:space="preserve">modelo_id</x:t>
        </x:is>
      </x:c>
      <x:c r="D1" s="7" t="inlineStr">
        <x:is>
          <x:t xml:space="preserve">nombre_proyecto</x:t>
        </x:is>
      </x:c>
      <x:c r="E1" s="7" t="inlineStr">
        <x:is>
          <x:t xml:space="preserve">empresa_ficticia</x:t>
        </x:is>
      </x:c>
      <x:c r="F1" s="7" t="inlineStr">
        <x:is>
          <x:t xml:space="preserve">propietario_ficticio</x:t>
        </x:is>
      </x:c>
      <x:c r="G1" s="7" t="inlineStr">
        <x:is>
          <x:t xml:space="preserve">fecha_entrega</x:t>
        </x:is>
      </x:c>
      <x:c r="H1" s="7" t="inlineStr">
        <x:is>
          <x:t xml:space="preserve">metros_construidos</x:t>
        </x:is>
      </x:c>
      <x:c r="I1" s="7" t="inlineStr">
        <x:is>
          <x:t xml:space="preserve">direccion_proyecto</x:t>
        </x:is>
      </x:c>
      <x:c r="J1" s="7" t="inlineStr">
        <x:is>
          <x:t xml:space="preserve">comuna</x:t>
        </x:is>
      </x:c>
      <x:c r="K1" s="7" t="inlineStr">
        <x:is>
          <x:t xml:space="preserve">ciudad</x:t>
        </x:is>
      </x:c>
      <x:c r="L1" s="7" t="inlineStr">
        <x:is>
          <x:t xml:space="preserve">region</x:t>
        </x:is>
      </x:c>
      <x:c r="M1" s="7" t="inlineStr">
        <x:is>
          <x:t xml:space="preserve">latitud</x:t>
        </x:is>
      </x:c>
      <x:c r="N1" s="7" t="inlineStr">
        <x:is>
          <x:t xml:space="preserve">longitud</x:t>
        </x:is>
      </x:c>
      <x:c r="O1" s="8" t="inlineStr">
        <x:is>
          <x:t xml:space="preserve">ubicacion_geolocalizacion</x:t>
        </x:is>
      </x:c>
      <x:c r="P1" s="7" t="inlineStr">
        <x:is>
          <x:t xml:space="preserve">uso</x:t>
        </x:is>
      </x:c>
      <x:c r="Q1" s="7" t="inlineStr">
        <x:is>
          <x:t xml:space="preserve">estado</x:t>
        </x:is>
      </x:c>
      <x:c r="R1" s="7" t="inlineStr">
        <x:is>
          <x:t xml:space="preserve">sistema_constructivo</x:t>
        </x:is>
      </x:c>
      <x:c r="S1" s="7" t="inlineStr">
        <x:is>
          <x:t xml:space="preserve">testimonial_id</x:t>
        </x:is>
      </x:c>
    </x:row>
    <x:row r="2" ht="18" customHeight="1">
      <x:c r="A2" s="9" t="inlineStr">
        <x:is>
          <x:t xml:space="preserve">PRO-0001</x:t>
        </x:is>
      </x:c>
      <x:c r="B2" s="9" t="inlineStr">
        <x:is>
          <x:t xml:space="preserve">EMP-001</x:t>
        </x:is>
      </x:c>
      <x:c r="C2" s="9" t="inlineStr">
        <x:is>
          <x:t xml:space="preserve">MOD-0002</x:t>
        </x:is>
      </x:c>
      <x:c r="D2" s="9" t="inlineStr">
        <x:is>
          <x:t xml:space="preserve">Loteo Cobquecura 11</x:t>
        </x:is>
      </x:c>
      <x:c r="E2" s="9" t="inlineStr">
        <x:is>
          <x:t xml:space="preserve">Sí</x:t>
        </x:is>
      </x:c>
      <x:c r="F2" s="9" t="inlineStr">
        <x:is>
          <x:t xml:space="preserve">Esteban Torres Venegas</x:t>
        </x:is>
      </x:c>
      <x:c r="G2" s="16" t="n">
        <x:v>45342</x:v>
      </x:c>
      <x:c r="H2" s="12" t="n">
        <x:v>101.5</x:v>
      </x:c>
      <x:c r="I2" s="9" t="inlineStr">
        <x:is>
          <x:t xml:space="preserve">Ruta Las Araucarias 156</x:t>
        </x:is>
      </x:c>
      <x:c r="J2" s="9" t="inlineStr">
        <x:is>
          <x:t xml:space="preserve">Arica</x:t>
        </x:is>
      </x:c>
      <x:c r="K2" s="9" t="inlineStr">
        <x:is>
          <x:t xml:space="preserve">Arica</x:t>
        </x:is>
      </x:c>
      <x:c r="L2" s="9" t="inlineStr">
        <x:is>
          <x:t xml:space="preserve">Arica y Parinacota</x:t>
        </x:is>
      </x:c>
      <x:c r="M2" s="11" t="n">
        <x:v>-18.613729</x:v>
      </x:c>
      <x:c r="N2" s="11" t="n">
        <x:v>-70.273107</x:v>
      </x:c>
      <x:c r="O2" s="10" t="inlineStr">
        <x:is>
          <x:t xml:space="preserve">-18.613729, -70.273107</x:t>
        </x:is>
      </x:c>
      <x:c r="P2" s="9" t="inlineStr">
        <x:is>
          <x:t xml:space="preserve">Parcela</x:t>
        </x:is>
      </x:c>
      <x:c r="Q2" s="9" t="inlineStr">
        <x:is>
          <x:t xml:space="preserve">Entregado</x:t>
        </x:is>
      </x:c>
      <x:c r="R2" s="9" t="inlineStr">
        <x:is>
          <x:t xml:space="preserve">SIP</x:t>
        </x:is>
      </x:c>
      <x:c r="S2" s="9" t="inlineStr">
        <x:is>
          <x:t xml:space="preserve">TES-0001</x:t>
        </x:is>
      </x:c>
    </x:row>
    <x:row r="3" ht="18" customHeight="1">
      <x:c r="A3" s="9" t="inlineStr">
        <x:is>
          <x:t xml:space="preserve">PRO-0002</x:t>
        </x:is>
      </x:c>
      <x:c r="B3" s="9" t="inlineStr">
        <x:is>
          <x:t xml:space="preserve">EMP-001</x:t>
        </x:is>
      </x:c>
      <x:c r="C3" s="9" t="inlineStr">
        <x:is>
          <x:t xml:space="preserve">MOD-0004</x:t>
        </x:is>
      </x:c>
      <x:c r="D3" s="9" t="inlineStr">
        <x:is>
          <x:t xml:space="preserve">Vista Panguipulli 5</x:t>
        </x:is>
      </x:c>
      <x:c r="E3" s="9" t="inlineStr">
        <x:is>
          <x:t xml:space="preserve">Sí</x:t>
        </x:is>
      </x:c>
      <x:c r="F3" s="9" t="inlineStr">
        <x:is>
          <x:t xml:space="preserve">Dominga Alarcón Molina</x:t>
        </x:is>
      </x:c>
      <x:c r="G3" s="16" t="n">
        <x:v>44853</x:v>
      </x:c>
      <x:c r="H3" s="12" t="n">
        <x:v>155.2</x:v>
      </x:c>
      <x:c r="I3" s="9" t="inlineStr">
        <x:is>
          <x:t xml:space="preserve">Pasaje El Estero 1272</x:t>
        </x:is>
      </x:c>
      <x:c r="J3" s="9" t="inlineStr">
        <x:is>
          <x:t xml:space="preserve">Arica</x:t>
        </x:is>
      </x:c>
      <x:c r="K3" s="9" t="inlineStr">
        <x:is>
          <x:t xml:space="preserve">Arica</x:t>
        </x:is>
      </x:c>
      <x:c r="L3" s="9" t="inlineStr">
        <x:is>
          <x:t xml:space="preserve">Arica y Parinacota</x:t>
        </x:is>
      </x:c>
      <x:c r="M3" s="11" t="n">
        <x:v>-18.431665</x:v>
      </x:c>
      <x:c r="N3" s="11" t="n">
        <x:v>-70.134261</x:v>
      </x:c>
      <x:c r="O3" s="10" t="inlineStr">
        <x:is>
          <x:t xml:space="preserve">-18.431665, -70.134261</x:t>
        </x:is>
      </x:c>
      <x:c r="P3" s="9" t="inlineStr">
        <x:is>
          <x:t xml:space="preserve">Segunda vivienda</x:t>
        </x:is>
      </x:c>
      <x:c r="Q3" s="9" t="inlineStr">
        <x:is>
          <x:t xml:space="preserve">Entregado</x:t>
        </x:is>
      </x:c>
      <x:c r="R3" s="9" t="inlineStr">
        <x:is>
          <x:t xml:space="preserve">STEEL_FRAME</x:t>
        </x:is>
      </x:c>
      <x:c r="S3" s="9" t="inlineStr">
        <x:is>
          <x:t xml:space="preserve">TES-0002</x:t>
        </x:is>
      </x:c>
    </x:row>
    <x:row r="4" ht="18" customHeight="1">
      <x:c r="A4" s="9" t="inlineStr">
        <x:is>
          <x:t xml:space="preserve">PRO-0003</x:t>
        </x:is>
      </x:c>
      <x:c r="B4" s="9" t="inlineStr">
        <x:is>
          <x:t xml:space="preserve">EMP-001</x:t>
        </x:is>
      </x:c>
      <x:c r="C4" s="9" t="inlineStr">
        <x:is>
          <x:t xml:space="preserve">MOD-0003</x:t>
        </x:is>
      </x:c>
      <x:c r="D4" s="9" t="inlineStr">
        <x:is>
          <x:t xml:space="preserve">Refugio Maipo 10</x:t>
        </x:is>
      </x:c>
      <x:c r="E4" s="9" t="inlineStr">
        <x:is>
          <x:t xml:space="preserve">Sí</x:t>
        </x:is>
      </x:c>
      <x:c r="F4" s="9" t="inlineStr">
        <x:is>
          <x:t xml:space="preserve">Ignacia Bahamondes Tapia</x:t>
        </x:is>
      </x:c>
      <x:c r="G4" s="16" t="n">
        <x:v>45943</x:v>
      </x:c>
      <x:c r="H4" s="12" t="n">
        <x:v>100</x:v>
      </x:c>
      <x:c r="I4" s="9" t="inlineStr">
        <x:is>
          <x:t xml:space="preserve">Pasaje Nueva Esperanza 38</x:t>
        </x:is>
      </x:c>
      <x:c r="J4" s="9" t="inlineStr">
        <x:is>
          <x:t xml:space="preserve">Arica</x:t>
        </x:is>
      </x:c>
      <x:c r="K4" s="9" t="inlineStr">
        <x:is>
          <x:t xml:space="preserve">Arica</x:t>
        </x:is>
      </x:c>
      <x:c r="L4" s="9" t="inlineStr">
        <x:is>
          <x:t xml:space="preserve">Arica y Parinacota</x:t>
        </x:is>
      </x:c>
      <x:c r="M4" s="11" t="n">
        <x:v>-18.372745</x:v>
      </x:c>
      <x:c r="N4" s="11" t="n">
        <x:v>-70.502904</x:v>
      </x:c>
      <x:c r="O4" s="10" t="inlineStr">
        <x:is>
          <x:t xml:space="preserve">-18.372745, -70.502904</x:t>
        </x:is>
      </x:c>
      <x:c r="P4" s="9" t="inlineStr">
        <x:is>
          <x:t xml:space="preserve">Segunda vivienda</x:t>
        </x:is>
      </x:c>
      <x:c r="Q4" s="9" t="inlineStr">
        <x:is>
          <x:t xml:space="preserve">Postventa cerrada</x:t>
        </x:is>
      </x:c>
      <x:c r="R4" s="9" t="inlineStr">
        <x:is>
          <x:t xml:space="preserve">MODULAR_TIMBER</x:t>
        </x:is>
      </x:c>
      <x:c r="S4" s="9" t="inlineStr">
        <x:is>
          <x:t xml:space="preserve">TES-0003</x:t>
        </x:is>
      </x:c>
    </x:row>
    <x:row r="5" ht="18" customHeight="1">
      <x:c r="A5" s="9" t="inlineStr">
        <x:is>
          <x:t xml:space="preserve">PRO-0004</x:t>
        </x:is>
      </x:c>
      <x:c r="B5" s="9" t="inlineStr">
        <x:is>
          <x:t xml:space="preserve">EMP-002</x:t>
        </x:is>
      </x:c>
      <x:c r="C5" s="9" t="inlineStr">
        <x:is>
          <x:t xml:space="preserve">MOD-0010</x:t>
        </x:is>
      </x:c>
      <x:c r="D5" s="9" t="inlineStr">
        <x:is>
          <x:t xml:space="preserve">Parcela Cochamó 19</x:t>
        </x:is>
      </x:c>
      <x:c r="E5" s="9" t="inlineStr">
        <x:is>
          <x:t xml:space="preserve">Sí</x:t>
        </x:is>
      </x:c>
      <x:c r="F5" s="9" t="inlineStr">
        <x:is>
          <x:t xml:space="preserve">Isidora Vera Peña</x:t>
        </x:is>
      </x:c>
      <x:c r="G5" s="16" t="n">
        <x:v>45268</x:v>
      </x:c>
      <x:c r="H5" s="12" t="n">
        <x:v>201.1</x:v>
      </x:c>
      <x:c r="I5" s="9" t="inlineStr">
        <x:is>
          <x:t xml:space="preserve">Pasaje Piedra Azul 1441</x:t>
        </x:is>
      </x:c>
      <x:c r="J5" s="9" t="inlineStr">
        <x:is>
          <x:t xml:space="preserve">Iquique</x:t>
        </x:is>
      </x:c>
      <x:c r="K5" s="9" t="inlineStr">
        <x:is>
          <x:t xml:space="preserve">Iquique</x:t>
        </x:is>
      </x:c>
      <x:c r="L5" s="9" t="inlineStr">
        <x:is>
          <x:t xml:space="preserve">Tarapacá</x:t>
        </x:is>
      </x:c>
      <x:c r="M5" s="11" t="n">
        <x:v>-20.190239</x:v>
      </x:c>
      <x:c r="N5" s="11" t="n">
        <x:v>-70.004991</x:v>
      </x:c>
      <x:c r="O5" s="10" t="inlineStr">
        <x:is>
          <x:t xml:space="preserve">-20.190239, -70.004991</x:t>
        </x:is>
      </x:c>
      <x:c r="P5" s="9" t="inlineStr">
        <x:is>
          <x:t xml:space="preserve">Parcela</x:t>
        </x:is>
      </x:c>
      <x:c r="Q5" s="9" t="inlineStr">
        <x:is>
          <x:t xml:space="preserve">Entregado</x:t>
        </x:is>
      </x:c>
      <x:c r="R5" s="9" t="inlineStr">
        <x:is>
          <x:t xml:space="preserve">HYBRID_MODULAR</x:t>
        </x:is>
      </x:c>
      <x:c r="S5" s="9" t="inlineStr">
        <x:is>
          <x:t xml:space="preserve">TES-0004</x:t>
        </x:is>
      </x:c>
    </x:row>
    <x:row r="6" ht="18" customHeight="1">
      <x:c r="A6" s="9" t="inlineStr">
        <x:is>
          <x:t xml:space="preserve">PRO-0005</x:t>
        </x:is>
      </x:c>
      <x:c r="B6" s="9" t="inlineStr">
        <x:is>
          <x:t xml:space="preserve">EMP-002</x:t>
        </x:is>
      </x:c>
      <x:c r="C6" s="9" t="inlineStr">
        <x:is>
          <x:t xml:space="preserve">MOD-0008</x:t>
        </x:is>
      </x:c>
      <x:c r="D6" s="9" t="inlineStr">
        <x:is>
          <x:t xml:space="preserve">Refugio Maipo 1</x:t>
        </x:is>
      </x:c>
      <x:c r="E6" s="9" t="inlineStr">
        <x:is>
          <x:t xml:space="preserve">Sí</x:t>
        </x:is>
      </x:c>
      <x:c r="F6" s="9" t="inlineStr">
        <x:is>
          <x:t xml:space="preserve">Gabriel Bravo Acuña</x:t>
        </x:is>
      </x:c>
      <x:c r="G6" s="16" t="n">
        <x:v>44752</x:v>
      </x:c>
      <x:c r="H6" s="12" t="n">
        <x:v>107.2</x:v>
      </x:c>
      <x:c r="I6" s="9" t="inlineStr">
        <x:is>
          <x:t xml:space="preserve">Parque Las Quemas 565</x:t>
        </x:is>
      </x:c>
      <x:c r="J6" s="9" t="inlineStr">
        <x:is>
          <x:t xml:space="preserve">Iquique</x:t>
        </x:is>
      </x:c>
      <x:c r="K6" s="9" t="inlineStr">
        <x:is>
          <x:t xml:space="preserve">Iquique</x:t>
        </x:is>
      </x:c>
      <x:c r="L6" s="9" t="inlineStr">
        <x:is>
          <x:t xml:space="preserve">Tarapacá</x:t>
        </x:is>
      </x:c>
      <x:c r="M6" s="11" t="n">
        <x:v>-20.116068</x:v>
      </x:c>
      <x:c r="N6" s="11" t="n">
        <x:v>-70.435286</x:v>
      </x:c>
      <x:c r="O6" s="10" t="inlineStr">
        <x:is>
          <x:t xml:space="preserve">-20.116068, -70.435286</x:t>
        </x:is>
      </x:c>
      <x:c r="P6" s="9" t="inlineStr">
        <x:is>
          <x:t xml:space="preserve">Turismo</x:t>
        </x:is>
      </x:c>
      <x:c r="Q6" s="9" t="inlineStr">
        <x:is>
          <x:t xml:space="preserve">Postventa cerrada</x:t>
        </x:is>
      </x:c>
      <x:c r="R6" s="9" t="inlineStr">
        <x:is>
          <x:t xml:space="preserve">SIP</x:t>
        </x:is>
      </x:c>
      <x:c r="S6" s="9" t="inlineStr">
        <x:is>
          <x:t xml:space="preserve">TES-0005</x:t>
        </x:is>
      </x:c>
    </x:row>
    <x:row r="7" ht="18" customHeight="1">
      <x:c r="A7" s="9" t="inlineStr">
        <x:is>
          <x:t xml:space="preserve">PRO-0006</x:t>
        </x:is>
      </x:c>
      <x:c r="B7" s="9" t="inlineStr">
        <x:is>
          <x:t xml:space="preserve">EMP-002</x:t>
        </x:is>
      </x:c>
      <x:c r="C7" s="9" t="inlineStr">
        <x:is>
          <x:t xml:space="preserve">MOD-0006</x:t>
        </x:is>
      </x:c>
      <x:c r="D7" s="9" t="inlineStr">
        <x:is>
          <x:t xml:space="preserve">Casa Chiloé 11</x:t>
        </x:is>
      </x:c>
      <x:c r="E7" s="9" t="inlineStr">
        <x:is>
          <x:t xml:space="preserve">Sí</x:t>
        </x:is>
      </x:c>
      <x:c r="F7" s="9" t="inlineStr">
        <x:is>
          <x:t xml:space="preserve">Nicolás Reyes Sandoval</x:t>
        </x:is>
      </x:c>
      <x:c r="G7" s="16" t="n">
        <x:v>45285</x:v>
      </x:c>
      <x:c r="H7" s="12" t="n">
        <x:v>40.4</x:v>
      </x:c>
      <x:c r="I7" s="9" t="inlineStr">
        <x:is>
          <x:t xml:space="preserve">Av. Taller del Pacífico 516</x:t>
        </x:is>
      </x:c>
      <x:c r="J7" s="9" t="inlineStr">
        <x:is>
          <x:t xml:space="preserve">Iquique</x:t>
        </x:is>
      </x:c>
      <x:c r="K7" s="9" t="inlineStr">
        <x:is>
          <x:t xml:space="preserve">Iquique</x:t>
        </x:is>
      </x:c>
      <x:c r="L7" s="9" t="inlineStr">
        <x:is>
          <x:t xml:space="preserve">Tarapacá</x:t>
        </x:is>
      </x:c>
      <x:c r="M7" s="11" t="n">
        <x:v>-20.435186</x:v>
      </x:c>
      <x:c r="N7" s="11" t="n">
        <x:v>-69.764366</x:v>
      </x:c>
      <x:c r="O7" s="10" t="inlineStr">
        <x:is>
          <x:t xml:space="preserve">-20.435186, -69.764366</x:t>
        </x:is>
      </x:c>
      <x:c r="P7" s="9" t="inlineStr">
        <x:is>
          <x:t xml:space="preserve">Segunda vivienda</x:t>
        </x:is>
      </x:c>
      <x:c r="Q7" s="9" t="inlineStr">
        <x:is>
          <x:t xml:space="preserve">Postventa cerrada</x:t>
        </x:is>
      </x:c>
      <x:c r="R7" s="9" t="inlineStr">
        <x:is>
          <x:t xml:space="preserve">SIP</x:t>
        </x:is>
      </x:c>
      <x:c r="S7" s="9" t="inlineStr">
        <x:is>
          <x:t xml:space="preserve">TES-0006</x:t>
        </x:is>
      </x:c>
    </x:row>
    <x:row r="8" ht="18" customHeight="1">
      <x:c r="A8" s="9" t="inlineStr">
        <x:is>
          <x:t xml:space="preserve">PRO-0007</x:t>
        </x:is>
      </x:c>
      <x:c r="B8" s="9" t="inlineStr">
        <x:is>
          <x:t xml:space="preserve">EMP-003</x:t>
        </x:is>
      </x:c>
      <x:c r="C8" s="9" t="inlineStr">
        <x:is>
          <x:t xml:space="preserve">MOD-0013</x:t>
        </x:is>
      </x:c>
      <x:c r="D8" s="9" t="inlineStr">
        <x:is>
          <x:t xml:space="preserve">Bosques de Ranco 18</x:t>
        </x:is>
      </x:c>
      <x:c r="E8" s="9" t="inlineStr">
        <x:is>
          <x:t xml:space="preserve">Sí</x:t>
        </x:is>
      </x:c>
      <x:c r="F8" s="9" t="inlineStr">
        <x:is>
          <x:t xml:space="preserve">Felipe Orellana Carrasco</x:t>
        </x:is>
      </x:c>
      <x:c r="G8" s="16" t="n">
        <x:v>44680</x:v>
      </x:c>
      <x:c r="H8" s="12" t="n">
        <x:v>112.3</x:v>
      </x:c>
      <x:c r="I8" s="9" t="inlineStr">
        <x:is>
          <x:t xml:space="preserve">Av. El Maitén 537</x:t>
        </x:is>
      </x:c>
      <x:c r="J8" s="9" t="inlineStr">
        <x:is>
          <x:t xml:space="preserve">Alto Hospicio</x:t>
        </x:is>
      </x:c>
      <x:c r="K8" s="9" t="inlineStr">
        <x:is>
          <x:t xml:space="preserve">Iquique</x:t>
        </x:is>
      </x:c>
      <x:c r="L8" s="9" t="inlineStr">
        <x:is>
          <x:t xml:space="preserve">Tarapacá</x:t>
        </x:is>
      </x:c>
      <x:c r="M8" s="11" t="n">
        <x:v>-19.961984</x:v>
      </x:c>
      <x:c r="N8" s="11" t="n">
        <x:v>-70.294827</x:v>
      </x:c>
      <x:c r="O8" s="10" t="inlineStr">
        <x:is>
          <x:t xml:space="preserve">-19.961984, -70.294827</x:t>
        </x:is>
      </x:c>
      <x:c r="P8" s="9" t="inlineStr">
        <x:is>
          <x:t xml:space="preserve">Turismo</x:t>
        </x:is>
      </x:c>
      <x:c r="Q8" s="9" t="inlineStr">
        <x:is>
          <x:t xml:space="preserve">Entregado</x:t>
        </x:is>
      </x:c>
      <x:c r="R8" s="9" t="inlineStr">
        <x:is>
          <x:t xml:space="preserve">SIP</x:t>
        </x:is>
      </x:c>
      <x:c r="S8" s="9" t="inlineStr">
        <x:is>
          <x:t xml:space="preserve">TES-0007</x:t>
        </x:is>
      </x:c>
    </x:row>
    <x:row r="9" ht="18" customHeight="1">
      <x:c r="A9" s="9" t="inlineStr">
        <x:is>
          <x:t xml:space="preserve">PRO-0008</x:t>
        </x:is>
      </x:c>
      <x:c r="B9" s="9" t="inlineStr">
        <x:is>
          <x:t xml:space="preserve">EMP-003</x:t>
        </x:is>
      </x:c>
      <x:c r="C9" s="9" t="inlineStr">
        <x:is>
          <x:t xml:space="preserve">MOD-0012</x:t>
        </x:is>
      </x:c>
      <x:c r="D9" s="9" t="inlineStr">
        <x:is>
          <x:t xml:space="preserve">Terraza Puyehue 14</x:t>
        </x:is>
      </x:c>
      <x:c r="E9" s="9" t="inlineStr">
        <x:is>
          <x:t xml:space="preserve">Sí</x:t>
        </x:is>
      </x:c>
      <x:c r="F9" s="9" t="inlineStr">
        <x:is>
          <x:t xml:space="preserve">Amanda Tapia Lagos</x:t>
        </x:is>
      </x:c>
      <x:c r="G9" s="16" t="n">
        <x:v>45263</x:v>
      </x:c>
      <x:c r="H9" s="12" t="n">
        <x:v>103.2</x:v>
      </x:c>
      <x:c r="I9" s="9" t="inlineStr">
        <x:is>
          <x:t xml:space="preserve">Ruta Las Bandurrias 502</x:t>
        </x:is>
      </x:c>
      <x:c r="J9" s="9" t="inlineStr">
        <x:is>
          <x:t xml:space="preserve">Alto Hospicio</x:t>
        </x:is>
      </x:c>
      <x:c r="K9" s="9" t="inlineStr">
        <x:is>
          <x:t xml:space="preserve">Iquique</x:t>
        </x:is>
      </x:c>
      <x:c r="L9" s="9" t="inlineStr">
        <x:is>
          <x:t xml:space="preserve">Tarapacá</x:t>
        </x:is>
      </x:c>
      <x:c r="M9" s="11" t="n">
        <x:v>-20.218281</x:v>
      </x:c>
      <x:c r="N9" s="11" t="n">
        <x:v>-70.05007500000001</x:v>
      </x:c>
      <x:c r="O9" s="10" t="inlineStr">
        <x:is>
          <x:t xml:space="preserve">-20.218281, -70.050075</x:t>
        </x:is>
      </x:c>
      <x:c r="P9" s="9" t="inlineStr">
        <x:is>
          <x:t xml:space="preserve">Turismo</x:t>
        </x:is>
      </x:c>
      <x:c r="Q9" s="9" t="inlineStr">
        <x:is>
          <x:t xml:space="preserve">Entregado</x:t>
        </x:is>
      </x:c>
      <x:c r="R9" s="9" t="inlineStr">
        <x:is>
          <x:t xml:space="preserve">MODULAR_TIMBER</x:t>
        </x:is>
      </x:c>
      <x:c r="S9" s="9" t="inlineStr">
        <x:is>
          <x:t xml:space="preserve">TES-0008</x:t>
        </x:is>
      </x:c>
    </x:row>
    <x:row r="10" ht="18" customHeight="1">
      <x:c r="A10" s="9" t="inlineStr">
        <x:is>
          <x:t xml:space="preserve">PRO-0009</x:t>
        </x:is>
      </x:c>
      <x:c r="B10" s="9" t="inlineStr">
        <x:is>
          <x:t xml:space="preserve">EMP-003</x:t>
        </x:is>
      </x:c>
      <x:c r="C10" s="9" t="inlineStr">
        <x:is>
          <x:t xml:space="preserve">MOD-0012</x:t>
        </x:is>
      </x:c>
      <x:c r="D10" s="9" t="inlineStr">
        <x:is>
          <x:t xml:space="preserve">Altos de Villarrica 19</x:t>
        </x:is>
      </x:c>
      <x:c r="E10" s="9" t="inlineStr">
        <x:is>
          <x:t xml:space="preserve">Sí</x:t>
        </x:is>
      </x:c>
      <x:c r="F10" s="9" t="inlineStr">
        <x:is>
          <x:t xml:space="preserve">Paula Torres Mella</x:t>
        </x:is>
      </x:c>
      <x:c r="G10" s="16" t="n">
        <x:v>45305</x:v>
      </x:c>
      <x:c r="H10" s="12" t="n">
        <x:v>99.7</x:v>
      </x:c>
      <x:c r="I10" s="9" t="inlineStr">
        <x:is>
          <x:t xml:space="preserve">Pasaje Las Bandurrias 1871</x:t>
        </x:is>
      </x:c>
      <x:c r="J10" s="9" t="inlineStr">
        <x:is>
          <x:t xml:space="preserve">Alto Hospicio</x:t>
        </x:is>
      </x:c>
      <x:c r="K10" s="9" t="inlineStr">
        <x:is>
          <x:t xml:space="preserve">Iquique</x:t>
        </x:is>
      </x:c>
      <x:c r="L10" s="9" t="inlineStr">
        <x:is>
          <x:t xml:space="preserve">Tarapacá</x:t>
        </x:is>
      </x:c>
      <x:c r="M10" s="11" t="n">
        <x:v>-20.505378</x:v>
      </x:c>
      <x:c r="N10" s="11" t="n">
        <x:v>-70.391265</x:v>
      </x:c>
      <x:c r="O10" s="10" t="inlineStr">
        <x:is>
          <x:t xml:space="preserve">-20.505378, -70.391265</x:t>
        </x:is>
      </x:c>
      <x:c r="P10" s="9" t="inlineStr">
        <x:is>
          <x:t xml:space="preserve">Habitacional + home office</x:t>
        </x:is>
      </x:c>
      <x:c r="Q10" s="9" t="inlineStr">
        <x:is>
          <x:t xml:space="preserve">Entregado</x:t>
        </x:is>
      </x:c>
      <x:c r="R10" s="9" t="inlineStr">
        <x:is>
          <x:t xml:space="preserve">MODULAR_TIMBER</x:t>
        </x:is>
      </x:c>
      <x:c r="S10" s="9" t="inlineStr">
        <x:is>
          <x:t xml:space="preserve">TES-0009</x:t>
        </x:is>
      </x:c>
    </x:row>
    <x:row r="11" ht="18" customHeight="1">
      <x:c r="A11" s="9" t="inlineStr">
        <x:is>
          <x:t xml:space="preserve">PRO-0010</x:t>
        </x:is>
      </x:c>
      <x:c r="B11" s="9" t="inlineStr">
        <x:is>
          <x:t xml:space="preserve">EMP-004</x:t>
        </x:is>
      </x:c>
      <x:c r="C11" s="9" t="inlineStr">
        <x:is>
          <x:t xml:space="preserve">MOD-0016</x:t>
        </x:is>
      </x:c>
      <x:c r="D11" s="9" t="inlineStr">
        <x:is>
          <x:t xml:space="preserve">Loteo Puyehue 25</x:t>
        </x:is>
      </x:c>
      <x:c r="E11" s="9" t="inlineStr">
        <x:is>
          <x:t xml:space="preserve">Sí</x:t>
        </x:is>
      </x:c>
      <x:c r="F11" s="9" t="inlineStr">
        <x:is>
          <x:t xml:space="preserve">Antonia Valdés Sepúlveda</x:t>
        </x:is>
      </x:c>
      <x:c r="G11" s="16" t="n">
        <x:v>45686</x:v>
      </x:c>
      <x:c r="H11" s="12" t="n">
        <x:v>40.1</x:v>
      </x:c>
      <x:c r="I11" s="9" t="inlineStr">
        <x:is>
          <x:t xml:space="preserve">Parque Nueva Esperanza 917</x:t>
        </x:is>
      </x:c>
      <x:c r="J11" s="9" t="inlineStr">
        <x:is>
          <x:t xml:space="preserve">Antofagasta</x:t>
        </x:is>
      </x:c>
      <x:c r="K11" s="9" t="inlineStr">
        <x:is>
          <x:t xml:space="preserve">Antofagasta</x:t>
        </x:is>
      </x:c>
      <x:c r="L11" s="9" t="inlineStr">
        <x:is>
          <x:t xml:space="preserve">Antofagasta</x:t>
        </x:is>
      </x:c>
      <x:c r="M11" s="11" t="n">
        <x:v>-23.743747</x:v>
      </x:c>
      <x:c r="N11" s="11" t="n">
        <x:v>-70.082634</x:v>
      </x:c>
      <x:c r="O11" s="10" t="inlineStr">
        <x:is>
          <x:t xml:space="preserve">-23.743747, -70.082634</x:t>
        </x:is>
      </x:c>
      <x:c r="P11" s="9" t="inlineStr">
        <x:is>
          <x:t xml:space="preserve">Habitacional + home office</x:t>
        </x:is>
      </x:c>
      <x:c r="Q11" s="9" t="inlineStr">
        <x:is>
          <x:t xml:space="preserve">Entregado</x:t>
        </x:is>
      </x:c>
      <x:c r="R11" s="9" t="inlineStr">
        <x:is>
          <x:t xml:space="preserve">CONTAINER</x:t>
        </x:is>
      </x:c>
      <x:c r="S11" s="9" t="inlineStr">
        <x:is>
          <x:t xml:space="preserve">TES-0010</x:t>
        </x:is>
      </x:c>
    </x:row>
    <x:row r="12" ht="18" customHeight="1">
      <x:c r="A12" s="9" t="inlineStr">
        <x:is>
          <x:t xml:space="preserve">PRO-0011</x:t>
        </x:is>
      </x:c>
      <x:c r="B12" s="9" t="inlineStr">
        <x:is>
          <x:t xml:space="preserve">EMP-004</x:t>
        </x:is>
      </x:c>
      <x:c r="C12" s="9" t="inlineStr">
        <x:is>
          <x:t xml:space="preserve">MOD-0020</x:t>
        </x:is>
      </x:c>
      <x:c r="D12" s="9" t="inlineStr">
        <x:is>
          <x:t xml:space="preserve">Vista Puyehue 17</x:t>
        </x:is>
      </x:c>
      <x:c r="E12" s="9" t="inlineStr">
        <x:is>
          <x:t xml:space="preserve">Sí</x:t>
        </x:is>
      </x:c>
      <x:c r="F12" s="9" t="inlineStr">
        <x:is>
          <x:t xml:space="preserve">Daniela Fuentes Sandoval</x:t>
        </x:is>
      </x:c>
      <x:c r="G12" s="16" t="n">
        <x:v>45358</x:v>
      </x:c>
      <x:c r="H12" s="12" t="n">
        <x:v>181.2</x:v>
      </x:c>
      <x:c r="I12" s="9" t="inlineStr">
        <x:is>
          <x:t xml:space="preserve">Av. El Estero 172</x:t>
        </x:is>
      </x:c>
      <x:c r="J12" s="9" t="inlineStr">
        <x:is>
          <x:t xml:space="preserve">Antofagasta</x:t>
        </x:is>
      </x:c>
      <x:c r="K12" s="9" t="inlineStr">
        <x:is>
          <x:t xml:space="preserve">Antofagasta</x:t>
        </x:is>
      </x:c>
      <x:c r="L12" s="9" t="inlineStr">
        <x:is>
          <x:t xml:space="preserve">Antofagasta</x:t>
        </x:is>
      </x:c>
      <x:c r="M12" s="11" t="n">
        <x:v>-23.549376</x:v>
      </x:c>
      <x:c r="N12" s="11" t="n">
        <x:v>-70.60202200000001</x:v>
      </x:c>
      <x:c r="O12" s="10" t="inlineStr">
        <x:is>
          <x:t xml:space="preserve">-23.549376, -70.602022</x:t>
        </x:is>
      </x:c>
      <x:c r="P12" s="9" t="inlineStr">
        <x:is>
          <x:t xml:space="preserve">Parcela</x:t>
        </x:is>
      </x:c>
      <x:c r="Q12" s="9" t="inlineStr">
        <x:is>
          <x:t xml:space="preserve">Postventa cerrada</x:t>
        </x:is>
      </x:c>
      <x:c r="R12" s="9" t="inlineStr">
        <x:is>
          <x:t xml:space="preserve">STEEL_FRAME</x:t>
        </x:is>
      </x:c>
      <x:c r="S12" s="9" t="inlineStr">
        <x:is>
          <x:t xml:space="preserve">TES-0011</x:t>
        </x:is>
      </x:c>
    </x:row>
    <x:row r="13" ht="18" customHeight="1">
      <x:c r="A13" s="9" t="inlineStr">
        <x:is>
          <x:t xml:space="preserve">PRO-0012</x:t>
        </x:is>
      </x:c>
      <x:c r="B13" s="9" t="inlineStr">
        <x:is>
          <x:t xml:space="preserve">EMP-004</x:t>
        </x:is>
      </x:c>
      <x:c r="C13" s="9" t="inlineStr">
        <x:is>
          <x:t xml:space="preserve">MOD-0019</x:t>
        </x:is>
      </x:c>
      <x:c r="D13" s="9" t="inlineStr">
        <x:is>
          <x:t xml:space="preserve">Condominio Llanquihue 3</x:t>
        </x:is>
      </x:c>
      <x:c r="E13" s="9" t="inlineStr">
        <x:is>
          <x:t xml:space="preserve">Sí</x:t>
        </x:is>
      </x:c>
      <x:c r="F13" s="9" t="inlineStr">
        <x:is>
          <x:t xml:space="preserve">Diego Torres Araya</x:t>
        </x:is>
      </x:c>
      <x:c r="G13" s="16" t="n">
        <x:v>44592</x:v>
      </x:c>
      <x:c r="H13" s="12" t="n">
        <x:v>129.3</x:v>
      </x:c>
      <x:c r="I13" s="9" t="inlineStr">
        <x:is>
          <x:t xml:space="preserve">Calle Las Bandurrias 465</x:t>
        </x:is>
      </x:c>
      <x:c r="J13" s="9" t="inlineStr">
        <x:is>
          <x:t xml:space="preserve">Antofagasta</x:t>
        </x:is>
      </x:c>
      <x:c r="K13" s="9" t="inlineStr">
        <x:is>
          <x:t xml:space="preserve">Antofagasta</x:t>
        </x:is>
      </x:c>
      <x:c r="L13" s="9" t="inlineStr">
        <x:is>
          <x:t xml:space="preserve">Antofagasta</x:t>
        </x:is>
      </x:c>
      <x:c r="M13" s="11" t="n">
        <x:v>-23.680816</x:v>
      </x:c>
      <x:c r="N13" s="11" t="n">
        <x:v>-70.08548999999999</x:v>
      </x:c>
      <x:c r="O13" s="10" t="inlineStr">
        <x:is>
          <x:t xml:space="preserve">-23.680816, -70.08549</x:t>
        </x:is>
      </x:c>
      <x:c r="P13" s="9" t="inlineStr">
        <x:is>
          <x:t xml:space="preserve">Habitacional + home office</x:t>
        </x:is>
      </x:c>
      <x:c r="Q13" s="9" t="inlineStr">
        <x:is>
          <x:t xml:space="preserve">Postventa cerrada</x:t>
        </x:is>
      </x:c>
      <x:c r="R13" s="9" t="inlineStr">
        <x:is>
          <x:t xml:space="preserve">SIP</x:t>
        </x:is>
      </x:c>
      <x:c r="S13" s="9" t="inlineStr">
        <x:is>
          <x:t xml:space="preserve">TES-0012</x:t>
        </x:is>
      </x:c>
    </x:row>
    <x:row r="14" ht="18" customHeight="1">
      <x:c r="A14" s="9" t="inlineStr">
        <x:is>
          <x:t xml:space="preserve">PRO-0013</x:t>
        </x:is>
      </x:c>
      <x:c r="B14" s="9" t="inlineStr">
        <x:is>
          <x:t xml:space="preserve">EMP-005</x:t>
        </x:is>
      </x:c>
      <x:c r="C14" s="9" t="inlineStr">
        <x:is>
          <x:t xml:space="preserve">MOD-0023</x:t>
        </x:is>
      </x:c>
      <x:c r="D14" s="9" t="inlineStr">
        <x:is>
          <x:t xml:space="preserve">Terraza Panguipulli 18</x:t>
        </x:is>
      </x:c>
      <x:c r="E14" s="9" t="inlineStr">
        <x:is>
          <x:t xml:space="preserve">Sí</x:t>
        </x:is>
      </x:c>
      <x:c r="F14" s="9" t="inlineStr">
        <x:is>
          <x:t xml:space="preserve">Martina Salinas Escobar</x:t>
        </x:is>
      </x:c>
      <x:c r="G14" s="16" t="n">
        <x:v>45026</x:v>
      </x:c>
      <x:c r="H14" s="12" t="n">
        <x:v>75.7</x:v>
      </x:c>
      <x:c r="I14" s="9" t="inlineStr">
        <x:is>
          <x:t xml:space="preserve">Los La Frontera 1262</x:t>
        </x:is>
      </x:c>
      <x:c r="J14" s="9" t="inlineStr">
        <x:is>
          <x:t xml:space="preserve">Calama</x:t>
        </x:is>
      </x:c>
      <x:c r="K14" s="9" t="inlineStr">
        <x:is>
          <x:t xml:space="preserve">Calama</x:t>
        </x:is>
      </x:c>
      <x:c r="L14" s="9" t="inlineStr">
        <x:is>
          <x:t xml:space="preserve">Antofagasta</x:t>
        </x:is>
      </x:c>
      <x:c r="M14" s="11" t="n">
        <x:v>-22.44979</x:v>
      </x:c>
      <x:c r="N14" s="11" t="n">
        <x:v>-68.67569399999999</x:v>
      </x:c>
      <x:c r="O14" s="10" t="inlineStr">
        <x:is>
          <x:t xml:space="preserve">-22.44979, -68.675694</x:t>
        </x:is>
      </x:c>
      <x:c r="P14" s="9" t="inlineStr">
        <x:is>
          <x:t xml:space="preserve">Parcela</x:t>
        </x:is>
      </x:c>
      <x:c r="Q14" s="9" t="inlineStr">
        <x:is>
          <x:t xml:space="preserve">Entregado</x:t>
        </x:is>
      </x:c>
      <x:c r="R14" s="9" t="inlineStr">
        <x:is>
          <x:t xml:space="preserve">SIP</x:t>
        </x:is>
      </x:c>
      <x:c r="S14" s="9" t="inlineStr">
        <x:is>
          <x:t xml:space="preserve">TES-0013</x:t>
        </x:is>
      </x:c>
    </x:row>
    <x:row r="15" ht="18" customHeight="1">
      <x:c r="A15" s="9" t="inlineStr">
        <x:is>
          <x:t xml:space="preserve">PRO-0014</x:t>
        </x:is>
      </x:c>
      <x:c r="B15" s="9" t="inlineStr">
        <x:is>
          <x:t xml:space="preserve">EMP-005</x:t>
        </x:is>
      </x:c>
      <x:c r="C15" s="9" t="inlineStr">
        <x:is>
          <x:t xml:space="preserve">MOD-0024</x:t>
        </x:is>
      </x:c>
      <x:c r="D15" s="9" t="inlineStr">
        <x:is>
          <x:t xml:space="preserve">Vista Cochamó 10</x:t>
        </x:is>
      </x:c>
      <x:c r="E15" s="9" t="inlineStr">
        <x:is>
          <x:t xml:space="preserve">Sí</x:t>
        </x:is>
      </x:c>
      <x:c r="F15" s="9" t="inlineStr">
        <x:is>
          <x:t xml:space="preserve">Benjamín Salinas Cortés</x:t>
        </x:is>
      </x:c>
      <x:c r="G15" s="16" t="n">
        <x:v>45298</x:v>
      </x:c>
      <x:c r="H15" s="12" t="n">
        <x:v>156.2</x:v>
      </x:c>
      <x:c r="I15" s="9" t="inlineStr">
        <x:is>
          <x:t xml:space="preserve">Av. La Montaña 606</x:t>
        </x:is>
      </x:c>
      <x:c r="J15" s="9" t="inlineStr">
        <x:is>
          <x:t xml:space="preserve">Calama</x:t>
        </x:is>
      </x:c>
      <x:c r="K15" s="9" t="inlineStr">
        <x:is>
          <x:t xml:space="preserve">Calama</x:t>
        </x:is>
      </x:c>
      <x:c r="L15" s="9" t="inlineStr">
        <x:is>
          <x:t xml:space="preserve">Antofagasta</x:t>
        </x:is>
      </x:c>
      <x:c r="M15" s="11" t="n">
        <x:v>-22.360722</x:v>
      </x:c>
      <x:c r="N15" s="11" t="n">
        <x:v>-68.86233300000001</x:v>
      </x:c>
      <x:c r="O15" s="10" t="inlineStr">
        <x:is>
          <x:t xml:space="preserve">-22.360722, -68.862333</x:t>
        </x:is>
      </x:c>
      <x:c r="P15" s="9" t="inlineStr">
        <x:is>
          <x:t xml:space="preserve">Turismo</x:t>
        </x:is>
      </x:c>
      <x:c r="Q15" s="9" t="inlineStr">
        <x:is>
          <x:t xml:space="preserve">Postventa cerrada</x:t>
        </x:is>
      </x:c>
      <x:c r="R15" s="9" t="inlineStr">
        <x:is>
          <x:t xml:space="preserve">MODULAR_TIMBER</x:t>
        </x:is>
      </x:c>
      <x:c r="S15" s="9" t="inlineStr">
        <x:is>
          <x:t xml:space="preserve">TES-0014</x:t>
        </x:is>
      </x:c>
    </x:row>
    <x:row r="16" ht="18" customHeight="1">
      <x:c r="A16" s="9" t="inlineStr">
        <x:is>
          <x:t xml:space="preserve">PRO-0015</x:t>
        </x:is>
      </x:c>
      <x:c r="B16" s="9" t="inlineStr">
        <x:is>
          <x:t xml:space="preserve">EMP-005</x:t>
        </x:is>
      </x:c>
      <x:c r="C16" s="9" t="inlineStr">
        <x:is>
          <x:t xml:space="preserve">MOD-0025</x:t>
        </x:is>
      </x:c>
      <x:c r="D16" s="9" t="inlineStr">
        <x:is>
          <x:t xml:space="preserve">Terraza Pelluhue 5</x:t>
        </x:is>
      </x:c>
      <x:c r="E16" s="9" t="inlineStr">
        <x:is>
          <x:t xml:space="preserve">Sí</x:t>
        </x:is>
      </x:c>
      <x:c r="F16" s="9" t="inlineStr">
        <x:is>
          <x:t xml:space="preserve">Josefa Bravo Cortés</x:t>
        </x:is>
      </x:c>
      <x:c r="G16" s="16" t="n">
        <x:v>44488</x:v>
      </x:c>
      <x:c r="H16" s="12" t="n">
        <x:v>177.8</x:v>
      </x:c>
      <x:c r="I16" s="9" t="inlineStr">
        <x:is>
          <x:t xml:space="preserve">Camino Los Coigües 1604</x:t>
        </x:is>
      </x:c>
      <x:c r="J16" s="9" t="inlineStr">
        <x:is>
          <x:t xml:space="preserve">Calama</x:t>
        </x:is>
      </x:c>
      <x:c r="K16" s="9" t="inlineStr">
        <x:is>
          <x:t xml:space="preserve">Calama</x:t>
        </x:is>
      </x:c>
      <x:c r="L16" s="9" t="inlineStr">
        <x:is>
          <x:t xml:space="preserve">Antofagasta</x:t>
        </x:is>
      </x:c>
      <x:c r="M16" s="11" t="n">
        <x:v>-22.42307</x:v>
      </x:c>
      <x:c r="N16" s="11" t="n">
        <x:v>-69.189415</x:v>
      </x:c>
      <x:c r="O16" s="10" t="inlineStr">
        <x:is>
          <x:t xml:space="preserve">-22.42307, -69.189415</x:t>
        </x:is>
      </x:c>
      <x:c r="P16" s="9" t="inlineStr">
        <x:is>
          <x:t xml:space="preserve">Segunda vivienda</x:t>
        </x:is>
      </x:c>
      <x:c r="Q16" s="9" t="inlineStr">
        <x:is>
          <x:t xml:space="preserve">Postventa cerrada</x:t>
        </x:is>
      </x:c>
      <x:c r="R16" s="9" t="inlineStr">
        <x:is>
          <x:t xml:space="preserve">HYBRID_MODULAR</x:t>
        </x:is>
      </x:c>
      <x:c r="S16" s="9" t="inlineStr">
        <x:is>
          <x:t xml:space="preserve">TES-0015</x:t>
        </x:is>
      </x:c>
    </x:row>
    <x:row r="17" ht="18" customHeight="1">
      <x:c r="A17" s="9" t="inlineStr">
        <x:is>
          <x:t xml:space="preserve">PRO-0016</x:t>
        </x:is>
      </x:c>
      <x:c r="B17" s="9" t="inlineStr">
        <x:is>
          <x:t xml:space="preserve">EMP-006</x:t>
        </x:is>
      </x:c>
      <x:c r="C17" s="9" t="inlineStr">
        <x:is>
          <x:t xml:space="preserve">MOD-0027</x:t>
        </x:is>
      </x:c>
      <x:c r="D17" s="9" t="inlineStr">
        <x:is>
          <x:t xml:space="preserve">Mirador Aysén 4</x:t>
        </x:is>
      </x:c>
      <x:c r="E17" s="9" t="inlineStr">
        <x:is>
          <x:t xml:space="preserve">Sí</x:t>
        </x:is>
      </x:c>
      <x:c r="F17" s="9" t="inlineStr">
        <x:is>
          <x:t xml:space="preserve">Martina Mella Becerra</x:t>
        </x:is>
      </x:c>
      <x:c r="G17" s="16" t="n">
        <x:v>44610</x:v>
      </x:c>
      <x:c r="H17" s="12" t="n">
        <x:v>85.2</x:v>
      </x:c>
      <x:c r="I17" s="9" t="inlineStr">
        <x:is>
          <x:t xml:space="preserve">Pasaje Piedra Azul 1511</x:t>
        </x:is>
      </x:c>
      <x:c r="J17" s="9" t="inlineStr">
        <x:is>
          <x:t xml:space="preserve">Copiapó</x:t>
        </x:is>
      </x:c>
      <x:c r="K17" s="9" t="inlineStr">
        <x:is>
          <x:t xml:space="preserve">Copiapó</x:t>
        </x:is>
      </x:c>
      <x:c r="L17" s="9" t="inlineStr">
        <x:is>
          <x:t xml:space="preserve">Atacama</x:t>
        </x:is>
      </x:c>
      <x:c r="M17" s="11" t="n">
        <x:v>-27.694794</x:v>
      </x:c>
      <x:c r="N17" s="11" t="n">
        <x:v>-70.459372</x:v>
      </x:c>
      <x:c r="O17" s="10" t="inlineStr">
        <x:is>
          <x:t xml:space="preserve">-27.694794, -70.459372</x:t>
        </x:is>
      </x:c>
      <x:c r="P17" s="9" t="inlineStr">
        <x:is>
          <x:t xml:space="preserve">Segunda vivienda</x:t>
        </x:is>
      </x:c>
      <x:c r="Q17" s="9" t="inlineStr">
        <x:is>
          <x:t xml:space="preserve">Entregado</x:t>
        </x:is>
      </x:c>
      <x:c r="R17" s="9" t="inlineStr">
        <x:is>
          <x:t xml:space="preserve">SIP</x:t>
        </x:is>
      </x:c>
      <x:c r="S17" s="9" t="inlineStr">
        <x:is>
          <x:t xml:space="preserve">TES-0016</x:t>
        </x:is>
      </x:c>
    </x:row>
    <x:row r="18" ht="18" customHeight="1">
      <x:c r="A18" s="9" t="inlineStr">
        <x:is>
          <x:t xml:space="preserve">PRO-0017</x:t>
        </x:is>
      </x:c>
      <x:c r="B18" s="9" t="inlineStr">
        <x:is>
          <x:t xml:space="preserve">EMP-006</x:t>
        </x:is>
      </x:c>
      <x:c r="C18" s="9" t="inlineStr">
        <x:is>
          <x:t xml:space="preserve">MOD-0029</x:t>
        </x:is>
      </x:c>
      <x:c r="D18" s="9" t="inlineStr">
        <x:is>
          <x:t xml:space="preserve">Altos de Valdivia 28</x:t>
        </x:is>
      </x:c>
      <x:c r="E18" s="9" t="inlineStr">
        <x:is>
          <x:t xml:space="preserve">Sí</x:t>
        </x:is>
      </x:c>
      <x:c r="F18" s="9" t="inlineStr">
        <x:is>
          <x:t xml:space="preserve">Ricardo Farías Acuña</x:t>
        </x:is>
      </x:c>
      <x:c r="G18" s="16" t="n">
        <x:v>44524</x:v>
      </x:c>
      <x:c r="H18" s="12" t="n">
        <x:v>155.9</x:v>
      </x:c>
      <x:c r="I18" s="9" t="inlineStr">
        <x:is>
          <x:t xml:space="preserve">Los Los Tijerales 1794</x:t>
        </x:is>
      </x:c>
      <x:c r="J18" s="9" t="inlineStr">
        <x:is>
          <x:t xml:space="preserve">Copiapó</x:t>
        </x:is>
      </x:c>
      <x:c r="K18" s="9" t="inlineStr">
        <x:is>
          <x:t xml:space="preserve">Copiapó</x:t>
        </x:is>
      </x:c>
      <x:c r="L18" s="9" t="inlineStr">
        <x:is>
          <x:t xml:space="preserve">Atacama</x:t>
        </x:is>
      </x:c>
      <x:c r="M18" s="11" t="n">
        <x:v>-27.491495</x:v>
      </x:c>
      <x:c r="N18" s="11" t="n">
        <x:v>-70.148442</x:v>
      </x:c>
      <x:c r="O18" s="10" t="inlineStr">
        <x:is>
          <x:t xml:space="preserve">-27.491495, -70.148442</x:t>
        </x:is>
      </x:c>
      <x:c r="P18" s="9" t="inlineStr">
        <x:is>
          <x:t xml:space="preserve">Habitacional + home office</x:t>
        </x:is>
      </x:c>
      <x:c r="Q18" s="9" t="inlineStr">
        <x:is>
          <x:t xml:space="preserve">Entregado</x:t>
        </x:is>
      </x:c>
      <x:c r="R18" s="9" t="inlineStr">
        <x:is>
          <x:t xml:space="preserve">STEEL_FRAME</x:t>
        </x:is>
      </x:c>
      <x:c r="S18" s="9" t="inlineStr">
        <x:is>
          <x:t xml:space="preserve">TES-0017</x:t>
        </x:is>
      </x:c>
    </x:row>
    <x:row r="19" ht="18" customHeight="1">
      <x:c r="A19" s="9" t="inlineStr">
        <x:is>
          <x:t xml:space="preserve">PRO-0018</x:t>
        </x:is>
      </x:c>
      <x:c r="B19" s="9" t="inlineStr">
        <x:is>
          <x:t xml:space="preserve">EMP-006</x:t>
        </x:is>
      </x:c>
      <x:c r="C19" s="9" t="inlineStr">
        <x:is>
          <x:t xml:space="preserve">MOD-0028</x:t>
        </x:is>
      </x:c>
      <x:c r="D19" s="9" t="inlineStr">
        <x:is>
          <x:t xml:space="preserve">Loteo Ranco 15</x:t>
        </x:is>
      </x:c>
      <x:c r="E19" s="9" t="inlineStr">
        <x:is>
          <x:t xml:space="preserve">Sí</x:t>
        </x:is>
      </x:c>
      <x:c r="F19" s="9" t="inlineStr">
        <x:is>
          <x:t xml:space="preserve">Ricardo Pino Bustos</x:t>
        </x:is>
      </x:c>
      <x:c r="G19" s="16" t="n">
        <x:v>44788</x:v>
      </x:c>
      <x:c r="H19" s="12" t="n">
        <x:v>115.5</x:v>
      </x:c>
      <x:c r="I19" s="9" t="inlineStr">
        <x:is>
          <x:t xml:space="preserve">Ruta Los Carpinteros 1285</x:t>
        </x:is>
      </x:c>
      <x:c r="J19" s="9" t="inlineStr">
        <x:is>
          <x:t xml:space="preserve">Copiapó</x:t>
        </x:is>
      </x:c>
      <x:c r="K19" s="9" t="inlineStr">
        <x:is>
          <x:t xml:space="preserve">Copiapó</x:t>
        </x:is>
      </x:c>
      <x:c r="L19" s="9" t="inlineStr">
        <x:is>
          <x:t xml:space="preserve">Atacama</x:t>
        </x:is>
      </x:c>
      <x:c r="M19" s="11" t="n">
        <x:v>-27.675632</x:v>
      </x:c>
      <x:c r="N19" s="11" t="n">
        <x:v>-70.59412399999999</x:v>
      </x:c>
      <x:c r="O19" s="10" t="inlineStr">
        <x:is>
          <x:t xml:space="preserve">-27.675632, -70.594124</x:t>
        </x:is>
      </x:c>
      <x:c r="P19" s="9" t="inlineStr">
        <x:is>
          <x:t xml:space="preserve">Segunda vivienda</x:t>
        </x:is>
      </x:c>
      <x:c r="Q19" s="9" t="inlineStr">
        <x:is>
          <x:t xml:space="preserve">Postventa cerrada</x:t>
        </x:is>
      </x:c>
      <x:c r="R19" s="9" t="inlineStr">
        <x:is>
          <x:t xml:space="preserve">MODULAR_TIMBER</x:t>
        </x:is>
      </x:c>
      <x:c r="S19" s="9" t="inlineStr">
        <x:is>
          <x:t xml:space="preserve">TES-0018</x:t>
        </x:is>
      </x:c>
    </x:row>
    <x:row r="20" ht="18" customHeight="1">
      <x:c r="A20" s="9" t="inlineStr">
        <x:is>
          <x:t xml:space="preserve">PRO-0019</x:t>
        </x:is>
      </x:c>
      <x:c r="B20" s="9" t="inlineStr">
        <x:is>
          <x:t xml:space="preserve">EMP-007</x:t>
        </x:is>
      </x:c>
      <x:c r="C20" s="9" t="inlineStr">
        <x:is>
          <x:t xml:space="preserve">MOD-0034</x:t>
        </x:is>
      </x:c>
      <x:c r="D20" s="9" t="inlineStr">
        <x:is>
          <x:t xml:space="preserve">Casa Rapel 20</x:t>
        </x:is>
      </x:c>
      <x:c r="E20" s="9" t="inlineStr">
        <x:is>
          <x:t xml:space="preserve">Sí</x:t>
        </x:is>
      </x:c>
      <x:c r="F20" s="9" t="inlineStr">
        <x:is>
          <x:t xml:space="preserve">Renata Vera Mella</x:t>
        </x:is>
      </x:c>
      <x:c r="G20" s="16" t="n">
        <x:v>45547</x:v>
      </x:c>
      <x:c r="H20" s="12" t="n">
        <x:v>121.4</x:v>
      </x:c>
      <x:c r="I20" s="9" t="inlineStr">
        <x:is>
          <x:t xml:space="preserve">Av. Las Araucarias 1816</x:t>
        </x:is>
      </x:c>
      <x:c r="J20" s="9" t="inlineStr">
        <x:is>
          <x:t xml:space="preserve">Vallenar</x:t>
        </x:is>
      </x:c>
      <x:c r="K20" s="9" t="inlineStr">
        <x:is>
          <x:t xml:space="preserve">Vallenar</x:t>
        </x:is>
      </x:c>
      <x:c r="L20" s="9" t="inlineStr">
        <x:is>
          <x:t xml:space="preserve">Atacama</x:t>
        </x:is>
      </x:c>
      <x:c r="M20" s="11" t="n">
        <x:v>-28.590899</x:v>
      </x:c>
      <x:c r="N20" s="11" t="n">
        <x:v>-71.11633399999999</x:v>
      </x:c>
      <x:c r="O20" s="10" t="inlineStr">
        <x:is>
          <x:t xml:space="preserve">-28.590899, -71.116334</x:t>
        </x:is>
      </x:c>
      <x:c r="P20" s="9" t="inlineStr">
        <x:is>
          <x:t xml:space="preserve">Parcela</x:t>
        </x:is>
      </x:c>
      <x:c r="Q20" s="9" t="inlineStr">
        <x:is>
          <x:t xml:space="preserve">Entregado</x:t>
        </x:is>
      </x:c>
      <x:c r="R20" s="9" t="inlineStr">
        <x:is>
          <x:t xml:space="preserve">CONTAINER</x:t>
        </x:is>
      </x:c>
      <x:c r="S20" s="9" t="inlineStr">
        <x:is>
          <x:t xml:space="preserve">TES-0019</x:t>
        </x:is>
      </x:c>
    </x:row>
    <x:row r="21" ht="18" customHeight="1">
      <x:c r="A21" s="9" t="inlineStr">
        <x:is>
          <x:t xml:space="preserve">PRO-0020</x:t>
        </x:is>
      </x:c>
      <x:c r="B21" s="9" t="inlineStr">
        <x:is>
          <x:t xml:space="preserve">EMP-007</x:t>
        </x:is>
      </x:c>
      <x:c r="C21" s="9" t="inlineStr">
        <x:is>
          <x:t xml:space="preserve">MOD-0031</x:t>
        </x:is>
      </x:c>
      <x:c r="D21" s="9" t="inlineStr">
        <x:is>
          <x:t xml:space="preserve">Parcela Maipo 14</x:t>
        </x:is>
      </x:c>
      <x:c r="E21" s="9" t="inlineStr">
        <x:is>
          <x:t xml:space="preserve">Sí</x:t>
        </x:is>
      </x:c>
      <x:c r="F21" s="9" t="inlineStr">
        <x:is>
          <x:t xml:space="preserve">Paula Alarcón Rojas</x:t>
        </x:is>
      </x:c>
      <x:c r="G21" s="16" t="n">
        <x:v>44494</x:v>
      </x:c>
      <x:c r="H21" s="12" t="n">
        <x:v>44.6</x:v>
      </x:c>
      <x:c r="I21" s="9" t="inlineStr">
        <x:is>
          <x:t xml:space="preserve">Calle Los Volcanes 189</x:t>
        </x:is>
      </x:c>
      <x:c r="J21" s="9" t="inlineStr">
        <x:is>
          <x:t xml:space="preserve">Vallenar</x:t>
        </x:is>
      </x:c>
      <x:c r="K21" s="9" t="inlineStr">
        <x:is>
          <x:t xml:space="preserve">Vallenar</x:t>
        </x:is>
      </x:c>
      <x:c r="L21" s="9" t="inlineStr">
        <x:is>
          <x:t xml:space="preserve">Atacama</x:t>
        </x:is>
      </x:c>
      <x:c r="M21" s="11" t="n">
        <x:v>-28.411107</x:v>
      </x:c>
      <x:c r="N21" s="11" t="n">
        <x:v>-70.585307</x:v>
      </x:c>
      <x:c r="O21" s="10" t="inlineStr">
        <x:is>
          <x:t xml:space="preserve">-28.411107, -70.585307</x:t>
        </x:is>
      </x:c>
      <x:c r="P21" s="9" t="inlineStr">
        <x:is>
          <x:t xml:space="preserve">Habitacional + home office</x:t>
        </x:is>
      </x:c>
      <x:c r="Q21" s="9" t="inlineStr">
        <x:is>
          <x:t xml:space="preserve">Entregado</x:t>
        </x:is>
      </x:c>
      <x:c r="R21" s="9" t="inlineStr">
        <x:is>
          <x:t xml:space="preserve">SIP</x:t>
        </x:is>
      </x:c>
      <x:c r="S21" s="9" t="inlineStr">
        <x:is>
          <x:t xml:space="preserve">TES-0020</x:t>
        </x:is>
      </x:c>
    </x:row>
    <x:row r="22" ht="18" customHeight="1">
      <x:c r="A22" s="9" t="inlineStr">
        <x:is>
          <x:t xml:space="preserve">PRO-0021</x:t>
        </x:is>
      </x:c>
      <x:c r="B22" s="9" t="inlineStr">
        <x:is>
          <x:t xml:space="preserve">EMP-007</x:t>
        </x:is>
      </x:c>
      <x:c r="C22" s="9" t="inlineStr">
        <x:is>
          <x:t xml:space="preserve">MOD-0035</x:t>
        </x:is>
      </x:c>
      <x:c r="D22" s="9" t="inlineStr">
        <x:is>
          <x:t xml:space="preserve">Bosques de Aysén 25</x:t>
        </x:is>
      </x:c>
      <x:c r="E22" s="9" t="inlineStr">
        <x:is>
          <x:t xml:space="preserve">Sí</x:t>
        </x:is>
      </x:c>
      <x:c r="F22" s="9" t="inlineStr">
        <x:is>
          <x:t xml:space="preserve">Simón Ramírez Castillo</x:t>
        </x:is>
      </x:c>
      <x:c r="G22" s="16" t="n">
        <x:v>45129</x:v>
      </x:c>
      <x:c r="H22" s="12" t="n">
        <x:v>184.3</x:v>
      </x:c>
      <x:c r="I22" s="9" t="inlineStr">
        <x:is>
          <x:t xml:space="preserve">Calle Los Volcanes 764</x:t>
        </x:is>
      </x:c>
      <x:c r="J22" s="9" t="inlineStr">
        <x:is>
          <x:t xml:space="preserve">Vallenar</x:t>
        </x:is>
      </x:c>
      <x:c r="K22" s="9" t="inlineStr">
        <x:is>
          <x:t xml:space="preserve">Vallenar</x:t>
        </x:is>
      </x:c>
      <x:c r="L22" s="9" t="inlineStr">
        <x:is>
          <x:t xml:space="preserve">Atacama</x:t>
        </x:is>
      </x:c>
      <x:c r="M22" s="11" t="n">
        <x:v>-28.625873</x:v>
      </x:c>
      <x:c r="N22" s="11" t="n">
        <x:v>-71.146829</x:v>
      </x:c>
      <x:c r="O22" s="10" t="inlineStr">
        <x:is>
          <x:t xml:space="preserve">-28.625873, -71.146829</x:t>
        </x:is>
      </x:c>
      <x:c r="P22" s="9" t="inlineStr">
        <x:is>
          <x:t xml:space="preserve">Segunda vivienda</x:t>
        </x:is>
      </x:c>
      <x:c r="Q22" s="9" t="inlineStr">
        <x:is>
          <x:t xml:space="preserve">Entregado</x:t>
        </x:is>
      </x:c>
      <x:c r="R22" s="9" t="inlineStr">
        <x:is>
          <x:t xml:space="preserve">HYBRID_MODULAR</x:t>
        </x:is>
      </x:c>
      <x:c r="S22" s="9" t="inlineStr">
        <x:is>
          <x:t xml:space="preserve">TES-0021</x:t>
        </x:is>
      </x:c>
    </x:row>
    <x:row r="23" ht="18" customHeight="1">
      <x:c r="A23" s="9" t="inlineStr">
        <x:is>
          <x:t xml:space="preserve">PRO-0022</x:t>
        </x:is>
      </x:c>
      <x:c r="B23" s="9" t="inlineStr">
        <x:is>
          <x:t xml:space="preserve">EMP-008</x:t>
        </x:is>
      </x:c>
      <x:c r="C23" s="9" t="inlineStr">
        <x:is>
          <x:t xml:space="preserve">MOD-0036</x:t>
        </x:is>
      </x:c>
      <x:c r="D23" s="9" t="inlineStr">
        <x:is>
          <x:t xml:space="preserve">Casa Aysén 16</x:t>
        </x:is>
      </x:c>
      <x:c r="E23" s="9" t="inlineStr">
        <x:is>
          <x:t xml:space="preserve">Sí</x:t>
        </x:is>
      </x:c>
      <x:c r="F23" s="9" t="inlineStr">
        <x:is>
          <x:t xml:space="preserve">Manuel Fuentes Saavedra</x:t>
        </x:is>
      </x:c>
      <x:c r="G23" s="16" t="n">
        <x:v>45276</x:v>
      </x:c>
      <x:c r="H23" s="12" t="n">
        <x:v>66.3</x:v>
      </x:c>
      <x:c r="I23" s="9" t="inlineStr">
        <x:is>
          <x:t xml:space="preserve">Av. Parque Industrial Sur 1180</x:t>
        </x:is>
      </x:c>
      <x:c r="J23" s="9" t="inlineStr">
        <x:is>
          <x:t xml:space="preserve">La Serena</x:t>
        </x:is>
      </x:c>
      <x:c r="K23" s="9" t="inlineStr">
        <x:is>
          <x:t xml:space="preserve">La Serena</x:t>
        </x:is>
      </x:c>
      <x:c r="L23" s="9" t="inlineStr">
        <x:is>
          <x:t xml:space="preserve">Coquimbo</x:t>
        </x:is>
      </x:c>
      <x:c r="M23" s="11" t="n">
        <x:v>-30.083265</x:v>
      </x:c>
      <x:c r="N23" s="11" t="n">
        <x:v>-71.44607000000001</x:v>
      </x:c>
      <x:c r="O23" s="10" t="inlineStr">
        <x:is>
          <x:t xml:space="preserve">-30.083265, -71.44607</x:t>
        </x:is>
      </x:c>
      <x:c r="P23" s="9" t="inlineStr">
        <x:is>
          <x:t xml:space="preserve">Parcela</x:t>
        </x:is>
      </x:c>
      <x:c r="Q23" s="9" t="inlineStr">
        <x:is>
          <x:t xml:space="preserve">Entregado</x:t>
        </x:is>
      </x:c>
      <x:c r="R23" s="9" t="inlineStr">
        <x:is>
          <x:t xml:space="preserve">MODULAR_TIMBER</x:t>
        </x:is>
      </x:c>
      <x:c r="S23" s="9" t="inlineStr">
        <x:is>
          <x:t xml:space="preserve">TES-0022</x:t>
        </x:is>
      </x:c>
    </x:row>
    <x:row r="24" ht="18" customHeight="1">
      <x:c r="A24" s="9" t="inlineStr">
        <x:is>
          <x:t xml:space="preserve">PRO-0023</x:t>
        </x:is>
      </x:c>
      <x:c r="B24" s="9" t="inlineStr">
        <x:is>
          <x:t xml:space="preserve">EMP-008</x:t>
        </x:is>
      </x:c>
      <x:c r="C24" s="9" t="inlineStr">
        <x:is>
          <x:t xml:space="preserve">MOD-0038</x:t>
        </x:is>
      </x:c>
      <x:c r="D24" s="9" t="inlineStr">
        <x:is>
          <x:t xml:space="preserve">Altos de Panguipulli 8</x:t>
        </x:is>
      </x:c>
      <x:c r="E24" s="9" t="inlineStr">
        <x:is>
          <x:t xml:space="preserve">Sí</x:t>
        </x:is>
      </x:c>
      <x:c r="F24" s="9" t="inlineStr">
        <x:is>
          <x:t xml:space="preserve">Constanza Núñez Acuña</x:t>
        </x:is>
      </x:c>
      <x:c r="G24" s="16" t="n">
        <x:v>44921</x:v>
      </x:c>
      <x:c r="H24" s="12" t="n">
        <x:v>94.2</x:v>
      </x:c>
      <x:c r="I24" s="9" t="inlineStr">
        <x:is>
          <x:t xml:space="preserve">Sendero Ruta Modular 1664</x:t>
        </x:is>
      </x:c>
      <x:c r="J24" s="9" t="inlineStr">
        <x:is>
          <x:t xml:space="preserve">La Serena</x:t>
        </x:is>
      </x:c>
      <x:c r="K24" s="9" t="inlineStr">
        <x:is>
          <x:t xml:space="preserve">La Serena</x:t>
        </x:is>
      </x:c>
      <x:c r="L24" s="9" t="inlineStr">
        <x:is>
          <x:t xml:space="preserve">Coquimbo</x:t>
        </x:is>
      </x:c>
      <x:c r="M24" s="11" t="n">
        <x:v>-29.800154</x:v>
      </x:c>
      <x:c r="N24" s="11" t="n">
        <x:v>-71.244928</x:v>
      </x:c>
      <x:c r="O24" s="10" t="inlineStr">
        <x:is>
          <x:t xml:space="preserve">-29.800154, -71.244928</x:t>
        </x:is>
      </x:c>
      <x:c r="P24" s="9" t="inlineStr">
        <x:is>
          <x:t xml:space="preserve">Turismo</x:t>
        </x:is>
      </x:c>
      <x:c r="Q24" s="9" t="inlineStr">
        <x:is>
          <x:t xml:space="preserve">Entregado</x:t>
        </x:is>
      </x:c>
      <x:c r="R24" s="9" t="inlineStr">
        <x:is>
          <x:t xml:space="preserve">SIP</x:t>
        </x:is>
      </x:c>
      <x:c r="S24" s="9" t="inlineStr">
        <x:is>
          <x:t xml:space="preserve">TES-0023</x:t>
        </x:is>
      </x:c>
    </x:row>
    <x:row r="25" ht="18" customHeight="1">
      <x:c r="A25" s="9" t="inlineStr">
        <x:is>
          <x:t xml:space="preserve">PRO-0024</x:t>
        </x:is>
      </x:c>
      <x:c r="B25" s="9" t="inlineStr">
        <x:is>
          <x:t xml:space="preserve">EMP-008</x:t>
        </x:is>
      </x:c>
      <x:c r="C25" s="9" t="inlineStr">
        <x:is>
          <x:t xml:space="preserve">MOD-0039</x:t>
        </x:is>
      </x:c>
      <x:c r="D25" s="9" t="inlineStr">
        <x:is>
          <x:t xml:space="preserve">Casa Villarrica 7</x:t>
        </x:is>
      </x:c>
      <x:c r="E25" s="9" t="inlineStr">
        <x:is>
          <x:t xml:space="preserve">Sí</x:t>
        </x:is>
      </x:c>
      <x:c r="F25" s="9" t="inlineStr">
        <x:is>
          <x:t xml:space="preserve">Iván Silva Herrera</x:t>
        </x:is>
      </x:c>
      <x:c r="G25" s="16" t="n">
        <x:v>45933</x:v>
      </x:c>
      <x:c r="H25" s="12" t="n">
        <x:v>117.2</x:v>
      </x:c>
      <x:c r="I25" s="9" t="inlineStr">
        <x:is>
          <x:t xml:space="preserve">Av. Los Volcanes 726</x:t>
        </x:is>
      </x:c>
      <x:c r="J25" s="9" t="inlineStr">
        <x:is>
          <x:t xml:space="preserve">La Serena</x:t>
        </x:is>
      </x:c>
      <x:c r="K25" s="9" t="inlineStr">
        <x:is>
          <x:t xml:space="preserve">La Serena</x:t>
        </x:is>
      </x:c>
      <x:c r="L25" s="9" t="inlineStr">
        <x:is>
          <x:t xml:space="preserve">Coquimbo</x:t>
        </x:is>
      </x:c>
      <x:c r="M25" s="11" t="n">
        <x:v>-29.799441</x:v>
      </x:c>
      <x:c r="N25" s="11" t="n">
        <x:v>-71.302164</x:v>
      </x:c>
      <x:c r="O25" s="10" t="inlineStr">
        <x:is>
          <x:t xml:space="preserve">-29.799441, -71.302164</x:t>
        </x:is>
      </x:c>
      <x:c r="P25" s="9" t="inlineStr">
        <x:is>
          <x:t xml:space="preserve">Habitacional</x:t>
        </x:is>
      </x:c>
      <x:c r="Q25" s="9" t="inlineStr">
        <x:is>
          <x:t xml:space="preserve">Entregado</x:t>
        </x:is>
      </x:c>
      <x:c r="R25" s="9" t="inlineStr">
        <x:is>
          <x:t xml:space="preserve">HYBRID_MODULAR</x:t>
        </x:is>
      </x:c>
      <x:c r="S25" s="9" t="inlineStr">
        <x:is>
          <x:t xml:space="preserve">TES-0024</x:t>
        </x:is>
      </x:c>
    </x:row>
    <x:row r="26" ht="18" customHeight="1">
      <x:c r="A26" s="9" t="inlineStr">
        <x:is>
          <x:t xml:space="preserve">PRO-0025</x:t>
        </x:is>
      </x:c>
      <x:c r="B26" s="9" t="inlineStr">
        <x:is>
          <x:t xml:space="preserve">EMP-009</x:t>
        </x:is>
      </x:c>
      <x:c r="C26" s="9" t="inlineStr">
        <x:is>
          <x:t xml:space="preserve">MOD-0041</x:t>
        </x:is>
      </x:c>
      <x:c r="D26" s="9" t="inlineStr">
        <x:is>
          <x:t xml:space="preserve">Terraza Panguipulli 1</x:t>
        </x:is>
      </x:c>
      <x:c r="E26" s="9" t="inlineStr">
        <x:is>
          <x:t xml:space="preserve">Sí</x:t>
        </x:is>
      </x:c>
      <x:c r="F26" s="9" t="inlineStr">
        <x:is>
          <x:t xml:space="preserve">Emilia Carrasco Farías</x:t>
        </x:is>
      </x:c>
      <x:c r="G26" s="16" t="n">
        <x:v>45323</x:v>
      </x:c>
      <x:c r="H26" s="12" t="n">
        <x:v>59.5</x:v>
      </x:c>
      <x:c r="I26" s="9" t="inlineStr">
        <x:is>
          <x:t xml:space="preserve">Los La Frontera 1493</x:t>
        </x:is>
      </x:c>
      <x:c r="J26" s="9" t="inlineStr">
        <x:is>
          <x:t xml:space="preserve">Coquimbo</x:t>
        </x:is>
      </x:c>
      <x:c r="K26" s="9" t="inlineStr">
        <x:is>
          <x:t xml:space="preserve">Coquimbo</x:t>
        </x:is>
      </x:c>
      <x:c r="L26" s="9" t="inlineStr">
        <x:is>
          <x:t xml:space="preserve">Coquimbo</x:t>
        </x:is>
      </x:c>
      <x:c r="M26" s="11" t="n">
        <x:v>-30.336576</x:v>
      </x:c>
      <x:c r="N26" s="11" t="n">
        <x:v>-71.168064</x:v>
      </x:c>
      <x:c r="O26" s="10" t="inlineStr">
        <x:is>
          <x:t xml:space="preserve">-30.336576, -71.168064</x:t>
        </x:is>
      </x:c>
      <x:c r="P26" s="9" t="inlineStr">
        <x:is>
          <x:t xml:space="preserve">Habitacional + home office</x:t>
        </x:is>
      </x:c>
      <x:c r="Q26" s="9" t="inlineStr">
        <x:is>
          <x:t xml:space="preserve">Entregado</x:t>
        </x:is>
      </x:c>
      <x:c r="R26" s="9" t="inlineStr">
        <x:is>
          <x:t xml:space="preserve">CONTAINER</x:t>
        </x:is>
      </x:c>
      <x:c r="S26" s="9" t="inlineStr">
        <x:is>
          <x:t xml:space="preserve">TES-0025</x:t>
        </x:is>
      </x:c>
    </x:row>
    <x:row r="27" ht="18" customHeight="1">
      <x:c r="A27" s="9" t="inlineStr">
        <x:is>
          <x:t xml:space="preserve">PRO-0026</x:t>
        </x:is>
      </x:c>
      <x:c r="B27" s="9" t="inlineStr">
        <x:is>
          <x:t xml:space="preserve">EMP-009</x:t>
        </x:is>
      </x:c>
      <x:c r="C27" s="9" t="inlineStr">
        <x:is>
          <x:t xml:space="preserve">MOD-0044</x:t>
        </x:is>
      </x:c>
      <x:c r="D27" s="9" t="inlineStr">
        <x:is>
          <x:t xml:space="preserve">Bosques de Licanray 27</x:t>
        </x:is>
      </x:c>
      <x:c r="E27" s="9" t="inlineStr">
        <x:is>
          <x:t xml:space="preserve">Sí</x:t>
        </x:is>
      </x:c>
      <x:c r="F27" s="9" t="inlineStr">
        <x:is>
          <x:t xml:space="preserve">Diego Rojas Cuevas</x:t>
        </x:is>
      </x:c>
      <x:c r="G27" s="16" t="n">
        <x:v>44475</x:v>
      </x:c>
      <x:c r="H27" s="12" t="n">
        <x:v>121.5</x:v>
      </x:c>
      <x:c r="I27" s="9" t="inlineStr">
        <x:is>
          <x:t xml:space="preserve">Los Río Claro 1615</x:t>
        </x:is>
      </x:c>
      <x:c r="J27" s="9" t="inlineStr">
        <x:is>
          <x:t xml:space="preserve">Coquimbo</x:t>
        </x:is>
      </x:c>
      <x:c r="K27" s="9" t="inlineStr">
        <x:is>
          <x:t xml:space="preserve">Coquimbo</x:t>
        </x:is>
      </x:c>
      <x:c r="L27" s="9" t="inlineStr">
        <x:is>
          <x:t xml:space="preserve">Coquimbo</x:t>
        </x:is>
      </x:c>
      <x:c r="M27" s="11" t="n">
        <x:v>-29.901828</x:v>
      </x:c>
      <x:c r="N27" s="11" t="n">
        <x:v>-71.023708</x:v>
      </x:c>
      <x:c r="O27" s="10" t="inlineStr">
        <x:is>
          <x:t xml:space="preserve">-29.901828, -71.023708</x:t>
        </x:is>
      </x:c>
      <x:c r="P27" s="9" t="inlineStr">
        <x:is>
          <x:t xml:space="preserve">Parcela</x:t>
        </x:is>
      </x:c>
      <x:c r="Q27" s="9" t="inlineStr">
        <x:is>
          <x:t xml:space="preserve">Entregado</x:t>
        </x:is>
      </x:c>
      <x:c r="R27" s="9" t="inlineStr">
        <x:is>
          <x:t xml:space="preserve">SIP</x:t>
        </x:is>
      </x:c>
      <x:c r="S27" s="9" t="inlineStr">
        <x:is>
          <x:t xml:space="preserve">TES-0026</x:t>
        </x:is>
      </x:c>
    </x:row>
    <x:row r="28" ht="18" customHeight="1">
      <x:c r="A28" s="9" t="inlineStr">
        <x:is>
          <x:t xml:space="preserve">PRO-0027</x:t>
        </x:is>
      </x:c>
      <x:c r="B28" s="9" t="inlineStr">
        <x:is>
          <x:t xml:space="preserve">EMP-009</x:t>
        </x:is>
      </x:c>
      <x:c r="C28" s="9" t="inlineStr">
        <x:is>
          <x:t xml:space="preserve">MOD-0043</x:t>
        </x:is>
      </x:c>
      <x:c r="D28" s="9" t="inlineStr">
        <x:is>
          <x:t xml:space="preserve">Loteo Ranco 11</x:t>
        </x:is>
      </x:c>
      <x:c r="E28" s="9" t="inlineStr">
        <x:is>
          <x:t xml:space="preserve">Sí</x:t>
        </x:is>
      </x:c>
      <x:c r="F28" s="9" t="inlineStr">
        <x:is>
          <x:t xml:space="preserve">Francisca Peña González</x:t>
        </x:is>
      </x:c>
      <x:c r="G28" s="16" t="n">
        <x:v>44623</x:v>
      </x:c>
      <x:c r="H28" s="12" t="n">
        <x:v>98.40000000000001</x:v>
      </x:c>
      <x:c r="I28" s="9" t="inlineStr">
        <x:is>
          <x:t xml:space="preserve">Los Los Canelos 315</x:t>
        </x:is>
      </x:c>
      <x:c r="J28" s="9" t="inlineStr">
        <x:is>
          <x:t xml:space="preserve">Coquimbo</x:t>
        </x:is>
      </x:c>
      <x:c r="K28" s="9" t="inlineStr">
        <x:is>
          <x:t xml:space="preserve">Coquimbo</x:t>
        </x:is>
      </x:c>
      <x:c r="L28" s="9" t="inlineStr">
        <x:is>
          <x:t xml:space="preserve">Coquimbo</x:t>
        </x:is>
      </x:c>
      <x:c r="M28" s="11" t="n">
        <x:v>-30.108664</x:v>
      </x:c>
      <x:c r="N28" s="11" t="n">
        <x:v>-71.006818</x:v>
      </x:c>
      <x:c r="O28" s="10" t="inlineStr">
        <x:is>
          <x:t xml:space="preserve">-30.108664, -71.006818</x:t>
        </x:is>
      </x:c>
      <x:c r="P28" s="9" t="inlineStr">
        <x:is>
          <x:t xml:space="preserve">Segunda vivienda</x:t>
        </x:is>
      </x:c>
      <x:c r="Q28" s="9" t="inlineStr">
        <x:is>
          <x:t xml:space="preserve">Entregado</x:t>
        </x:is>
      </x:c>
      <x:c r="R28" s="9" t="inlineStr">
        <x:is>
          <x:t xml:space="preserve">HYBRID_MODULAR</x:t>
        </x:is>
      </x:c>
      <x:c r="S28" s="9" t="inlineStr">
        <x:is>
          <x:t xml:space="preserve">TES-0027</x:t>
        </x:is>
      </x:c>
    </x:row>
    <x:row r="29" ht="18" customHeight="1">
      <x:c r="A29" s="9" t="inlineStr">
        <x:is>
          <x:t xml:space="preserve">PRO-0028</x:t>
        </x:is>
      </x:c>
      <x:c r="B29" s="9" t="inlineStr">
        <x:is>
          <x:t xml:space="preserve">EMP-010</x:t>
        </x:is>
      </x:c>
      <x:c r="C29" s="9" t="inlineStr">
        <x:is>
          <x:t xml:space="preserve">MOD-0047</x:t>
        </x:is>
      </x:c>
      <x:c r="D29" s="9" t="inlineStr">
        <x:is>
          <x:t xml:space="preserve">Condominio Elqui 15</x:t>
        </x:is>
      </x:c>
      <x:c r="E29" s="9" t="inlineStr">
        <x:is>
          <x:t xml:space="preserve">Sí</x:t>
        </x:is>
      </x:c>
      <x:c r="F29" s="9" t="inlineStr">
        <x:is>
          <x:t xml:space="preserve">Javier Silva Bahamondes</x:t>
        </x:is>
      </x:c>
      <x:c r="G29" s="16" t="n">
        <x:v>44828</x:v>
      </x:c>
      <x:c r="H29" s="12" t="n">
        <x:v>116.7</x:v>
      </x:c>
      <x:c r="I29" s="9" t="inlineStr">
        <x:is>
          <x:t xml:space="preserve">Parque Los Canelos 1027</x:t>
        </x:is>
      </x:c>
      <x:c r="J29" s="9" t="inlineStr">
        <x:is>
          <x:t xml:space="preserve">Ovalle</x:t>
        </x:is>
      </x:c>
      <x:c r="K29" s="9" t="inlineStr">
        <x:is>
          <x:t xml:space="preserve">Ovalle</x:t>
        </x:is>
      </x:c>
      <x:c r="L29" s="9" t="inlineStr">
        <x:is>
          <x:t xml:space="preserve">Coquimbo</x:t>
        </x:is>
      </x:c>
      <x:c r="M29" s="11" t="n">
        <x:v>-30.720082</x:v>
      </x:c>
      <x:c r="N29" s="11" t="n">
        <x:v>-71.527704</x:v>
      </x:c>
      <x:c r="O29" s="10" t="inlineStr">
        <x:is>
          <x:t xml:space="preserve">-30.720082, -71.527704</x:t>
        </x:is>
      </x:c>
      <x:c r="P29" s="9" t="inlineStr">
        <x:is>
          <x:t xml:space="preserve">Turismo</x:t>
        </x:is>
      </x:c>
      <x:c r="Q29" s="9" t="inlineStr">
        <x:is>
          <x:t xml:space="preserve">Entregado</x:t>
        </x:is>
      </x:c>
      <x:c r="R29" s="9" t="inlineStr">
        <x:is>
          <x:t xml:space="preserve">STEEL_FRAME</x:t>
        </x:is>
      </x:c>
      <x:c r="S29" s="9" t="inlineStr">
        <x:is>
          <x:t xml:space="preserve">TES-0028</x:t>
        </x:is>
      </x:c>
    </x:row>
    <x:row r="30" ht="18" customHeight="1">
      <x:c r="A30" s="9" t="inlineStr">
        <x:is>
          <x:t xml:space="preserve">PRO-0029</x:t>
        </x:is>
      </x:c>
      <x:c r="B30" s="9" t="inlineStr">
        <x:is>
          <x:t xml:space="preserve">EMP-010</x:t>
        </x:is>
      </x:c>
      <x:c r="C30" s="9" t="inlineStr">
        <x:is>
          <x:t xml:space="preserve">MOD-0046</x:t>
        </x:is>
      </x:c>
      <x:c r="D30" s="9" t="inlineStr">
        <x:is>
          <x:t xml:space="preserve">Condominio Lonquimay 16</x:t>
        </x:is>
      </x:c>
      <x:c r="E30" s="9" t="inlineStr">
        <x:is>
          <x:t xml:space="preserve">Sí</x:t>
        </x:is>
      </x:c>
      <x:c r="F30" s="9" t="inlineStr">
        <x:is>
          <x:t xml:space="preserve">Dominga Rojas Pino</x:t>
        </x:is>
      </x:c>
      <x:c r="G30" s="16" t="n">
        <x:v>44610</x:v>
      </x:c>
      <x:c r="H30" s="12" t="n">
        <x:v>51.3</x:v>
      </x:c>
      <x:c r="I30" s="9" t="inlineStr">
        <x:is>
          <x:t xml:space="preserve">Sendero Puerto Norte 325</x:t>
        </x:is>
      </x:c>
      <x:c r="J30" s="9" t="inlineStr">
        <x:is>
          <x:t xml:space="preserve">Ovalle</x:t>
        </x:is>
      </x:c>
      <x:c r="K30" s="9" t="inlineStr">
        <x:is>
          <x:t xml:space="preserve">Ovalle</x:t>
        </x:is>
      </x:c>
      <x:c r="L30" s="9" t="inlineStr">
        <x:is>
          <x:t xml:space="preserve">Coquimbo</x:t>
        </x:is>
      </x:c>
      <x:c r="M30" s="11" t="n">
        <x:v>-30.62959</x:v>
      </x:c>
      <x:c r="N30" s="11" t="n">
        <x:v>-71.53239000000001</x:v>
      </x:c>
      <x:c r="O30" s="10" t="inlineStr">
        <x:is>
          <x:t xml:space="preserve">-30.62959, -71.53239</x:t>
        </x:is>
      </x:c>
      <x:c r="P30" s="9" t="inlineStr">
        <x:is>
          <x:t xml:space="preserve">Parcela</x:t>
        </x:is>
      </x:c>
      <x:c r="Q30" s="9" t="inlineStr">
        <x:is>
          <x:t xml:space="preserve">Entregado</x:t>
        </x:is>
      </x:c>
      <x:c r="R30" s="9" t="inlineStr">
        <x:is>
          <x:t xml:space="preserve">STEEL_FRAME</x:t>
        </x:is>
      </x:c>
      <x:c r="S30" s="9" t="inlineStr">
        <x:is>
          <x:t xml:space="preserve">TES-0029</x:t>
        </x:is>
      </x:c>
    </x:row>
    <x:row r="31" ht="18" customHeight="1">
      <x:c r="A31" s="9" t="inlineStr">
        <x:is>
          <x:t xml:space="preserve">PRO-0030</x:t>
        </x:is>
      </x:c>
      <x:c r="B31" s="9" t="inlineStr">
        <x:is>
          <x:t xml:space="preserve">EMP-010</x:t>
        </x:is>
      </x:c>
      <x:c r="C31" s="9" t="inlineStr">
        <x:is>
          <x:t xml:space="preserve">MOD-0046</x:t>
        </x:is>
      </x:c>
      <x:c r="D31" s="9" t="inlineStr">
        <x:is>
          <x:t xml:space="preserve">Parcela Panguipulli 28</x:t>
        </x:is>
      </x:c>
      <x:c r="E31" s="9" t="inlineStr">
        <x:is>
          <x:t xml:space="preserve">Sí</x:t>
        </x:is>
      </x:c>
      <x:c r="F31" s="9" t="inlineStr">
        <x:is>
          <x:t xml:space="preserve">Constanza Vargas Torres</x:t>
        </x:is>
      </x:c>
      <x:c r="G31" s="16" t="n">
        <x:v>44617</x:v>
      </x:c>
      <x:c r="H31" s="12" t="n">
        <x:v>50.1</x:v>
      </x:c>
      <x:c r="I31" s="9" t="inlineStr">
        <x:is>
          <x:t xml:space="preserve">Camino Los Carpinteros 646</x:t>
        </x:is>
      </x:c>
      <x:c r="J31" s="9" t="inlineStr">
        <x:is>
          <x:t xml:space="preserve">Ovalle</x:t>
        </x:is>
      </x:c>
      <x:c r="K31" s="9" t="inlineStr">
        <x:is>
          <x:t xml:space="preserve">Ovalle</x:t>
        </x:is>
      </x:c>
      <x:c r="L31" s="9" t="inlineStr">
        <x:is>
          <x:t xml:space="preserve">Coquimbo</x:t>
        </x:is>
      </x:c>
      <x:c r="M31" s="11" t="n">
        <x:v>-30.618674</x:v>
      </x:c>
      <x:c r="N31" s="11" t="n">
        <x:v>-71.05027</x:v>
      </x:c>
      <x:c r="O31" s="10" t="inlineStr">
        <x:is>
          <x:t xml:space="preserve">-30.618674, -71.05027</x:t>
        </x:is>
      </x:c>
      <x:c r="P31" s="9" t="inlineStr">
        <x:is>
          <x:t xml:space="preserve">Habitacional</x:t>
        </x:is>
      </x:c>
      <x:c r="Q31" s="9" t="inlineStr">
        <x:is>
          <x:t xml:space="preserve">Entregado</x:t>
        </x:is>
      </x:c>
      <x:c r="R31" s="9" t="inlineStr">
        <x:is>
          <x:t xml:space="preserve">STEEL_FRAME</x:t>
        </x:is>
      </x:c>
      <x:c r="S31" s="9" t="inlineStr">
        <x:is>
          <x:t xml:space="preserve">TES-0030</x:t>
        </x:is>
      </x:c>
    </x:row>
    <x:row r="32" ht="18" customHeight="1">
      <x:c r="A32" s="9" t="inlineStr">
        <x:is>
          <x:t xml:space="preserve">PRO-0031</x:t>
        </x:is>
      </x:c>
      <x:c r="B32" s="9" t="inlineStr">
        <x:is>
          <x:t xml:space="preserve">EMP-011</x:t>
        </x:is>
      </x:c>
      <x:c r="C32" s="9" t="inlineStr">
        <x:is>
          <x:t xml:space="preserve">MOD-0055</x:t>
        </x:is>
      </x:c>
      <x:c r="D32" s="9" t="inlineStr">
        <x:is>
          <x:t xml:space="preserve">Condominio Chiloé 9</x:t>
        </x:is>
      </x:c>
      <x:c r="E32" s="9" t="inlineStr">
        <x:is>
          <x:t xml:space="preserve">Sí</x:t>
        </x:is>
      </x:c>
      <x:c r="F32" s="9" t="inlineStr">
        <x:is>
          <x:t xml:space="preserve">Paz Campos Herrera</x:t>
        </x:is>
      </x:c>
      <x:c r="G32" s="16" t="n">
        <x:v>44836</x:v>
      </x:c>
      <x:c r="H32" s="12" t="n">
        <x:v>183</x:v>
      </x:c>
      <x:c r="I32" s="9" t="inlineStr">
        <x:is>
          <x:t xml:space="preserve">Ruta Los Volcanes 420</x:t>
        </x:is>
      </x:c>
      <x:c r="J32" s="9" t="inlineStr">
        <x:is>
          <x:t xml:space="preserve">Viña del Mar</x:t>
        </x:is>
      </x:c>
      <x:c r="K32" s="9" t="inlineStr">
        <x:is>
          <x:t xml:space="preserve">Viña del Mar</x:t>
        </x:is>
      </x:c>
      <x:c r="L32" s="9" t="inlineStr">
        <x:is>
          <x:t xml:space="preserve">Valparaíso</x:t>
        </x:is>
      </x:c>
      <x:c r="M32" s="11" t="n">
        <x:v>-32.819231</x:v>
      </x:c>
      <x:c r="N32" s="11" t="n">
        <x:v>-71.43370299999999</x:v>
      </x:c>
      <x:c r="O32" s="10" t="inlineStr">
        <x:is>
          <x:t xml:space="preserve">-32.819231, -71.433703</x:t>
        </x:is>
      </x:c>
      <x:c r="P32" s="9" t="inlineStr">
        <x:is>
          <x:t xml:space="preserve">Parcela</x:t>
        </x:is>
      </x:c>
      <x:c r="Q32" s="9" t="inlineStr">
        <x:is>
          <x:t xml:space="preserve">Entregado</x:t>
        </x:is>
      </x:c>
      <x:c r="R32" s="9" t="inlineStr">
        <x:is>
          <x:t xml:space="preserve">HYBRID_MODULAR</x:t>
        </x:is>
      </x:c>
      <x:c r="S32" s="9" t="inlineStr">
        <x:is>
          <x:t xml:space="preserve">TES-0031</x:t>
        </x:is>
      </x:c>
    </x:row>
    <x:row r="33" ht="18" customHeight="1">
      <x:c r="A33" s="9" t="inlineStr">
        <x:is>
          <x:t xml:space="preserve">PRO-0032</x:t>
        </x:is>
      </x:c>
      <x:c r="B33" s="9" t="inlineStr">
        <x:is>
          <x:t xml:space="preserve">EMP-011</x:t>
        </x:is>
      </x:c>
      <x:c r="C33" s="9" t="inlineStr">
        <x:is>
          <x:t xml:space="preserve">MOD-0053</x:t>
        </x:is>
      </x:c>
      <x:c r="D33" s="9" t="inlineStr">
        <x:is>
          <x:t xml:space="preserve">Casa Lonquimay 9</x:t>
        </x:is>
      </x:c>
      <x:c r="E33" s="9" t="inlineStr">
        <x:is>
          <x:t xml:space="preserve">Sí</x:t>
        </x:is>
      </x:c>
      <x:c r="F33" s="9" t="inlineStr">
        <x:is>
          <x:t xml:space="preserve">Ignacia Araya Fuentes</x:t>
        </x:is>
      </x:c>
      <x:c r="G33" s="16" t="n">
        <x:v>44431</x:v>
      </x:c>
      <x:c r="H33" s="12" t="n">
        <x:v>99</x:v>
      </x:c>
      <x:c r="I33" s="9" t="inlineStr">
        <x:is>
          <x:t xml:space="preserve">Ruta Las Dunas 727</x:t>
        </x:is>
      </x:c>
      <x:c r="J33" s="9" t="inlineStr">
        <x:is>
          <x:t xml:space="preserve">Viña del Mar</x:t>
        </x:is>
      </x:c>
      <x:c r="K33" s="9" t="inlineStr">
        <x:is>
          <x:t xml:space="preserve">Viña del Mar</x:t>
        </x:is>
      </x:c>
      <x:c r="L33" s="9" t="inlineStr">
        <x:is>
          <x:t xml:space="preserve">Valparaíso</x:t>
        </x:is>
      </x:c>
      <x:c r="M33" s="11" t="n">
        <x:v>-32.914116</x:v>
      </x:c>
      <x:c r="N33" s="11" t="n">
        <x:v>-71.521057</x:v>
      </x:c>
      <x:c r="O33" s="10" t="inlineStr">
        <x:is>
          <x:t xml:space="preserve">-32.914116, -71.521057</x:t>
        </x:is>
      </x:c>
      <x:c r="P33" s="9" t="inlineStr">
        <x:is>
          <x:t xml:space="preserve">Habitacional + home office</x:t>
        </x:is>
      </x:c>
      <x:c r="Q33" s="9" t="inlineStr">
        <x:is>
          <x:t xml:space="preserve">Entregado</x:t>
        </x:is>
      </x:c>
      <x:c r="R33" s="9" t="inlineStr">
        <x:is>
          <x:t xml:space="preserve">MODULAR_TIMBER</x:t>
        </x:is>
      </x:c>
      <x:c r="S33" s="9" t="inlineStr">
        <x:is>
          <x:t xml:space="preserve">TES-0032</x:t>
        </x:is>
      </x:c>
    </x:row>
    <x:row r="34" ht="18" customHeight="1">
      <x:c r="A34" s="9" t="inlineStr">
        <x:is>
          <x:t xml:space="preserve">PRO-0033</x:t>
        </x:is>
      </x:c>
      <x:c r="B34" s="9" t="inlineStr">
        <x:is>
          <x:t xml:space="preserve">EMP-011</x:t>
        </x:is>
      </x:c>
      <x:c r="C34" s="9" t="inlineStr">
        <x:is>
          <x:t xml:space="preserve">MOD-0051</x:t>
        </x:is>
      </x:c>
      <x:c r="D34" s="9" t="inlineStr">
        <x:is>
          <x:t xml:space="preserve">Parcela Aysén 14</x:t>
        </x:is>
      </x:c>
      <x:c r="E34" s="9" t="inlineStr">
        <x:is>
          <x:t xml:space="preserve">Sí</x:t>
        </x:is>
      </x:c>
      <x:c r="F34" s="9" t="inlineStr">
        <x:is>
          <x:t xml:space="preserve">Emilia Acuña Saavedra</x:t>
        </x:is>
      </x:c>
      <x:c r="G34" s="16" t="n">
        <x:v>45304</x:v>
      </x:c>
      <x:c r="H34" s="12" t="n">
        <x:v>66.5</x:v>
      </x:c>
      <x:c r="I34" s="9" t="inlineStr">
        <x:is>
          <x:t xml:space="preserve">Av. Parque Industrial Sur 795</x:t>
        </x:is>
      </x:c>
      <x:c r="J34" s="9" t="inlineStr">
        <x:is>
          <x:t xml:space="preserve">Viña del Mar</x:t>
        </x:is>
      </x:c>
      <x:c r="K34" s="9" t="inlineStr">
        <x:is>
          <x:t xml:space="preserve">Viña del Mar</x:t>
        </x:is>
      </x:c>
      <x:c r="L34" s="9" t="inlineStr">
        <x:is>
          <x:t xml:space="preserve">Valparaíso</x:t>
        </x:is>
      </x:c>
      <x:c r="M34" s="11" t="n">
        <x:v>-33.259125</x:v>
      </x:c>
      <x:c r="N34" s="11" t="n">
        <x:v>-71.551384</x:v>
      </x:c>
      <x:c r="O34" s="10" t="inlineStr">
        <x:is>
          <x:t xml:space="preserve">-33.259125, -71.551384</x:t>
        </x:is>
      </x:c>
      <x:c r="P34" s="9" t="inlineStr">
        <x:is>
          <x:t xml:space="preserve">Segunda vivienda</x:t>
        </x:is>
      </x:c>
      <x:c r="Q34" s="9" t="inlineStr">
        <x:is>
          <x:t xml:space="preserve">Entregado</x:t>
        </x:is>
      </x:c>
      <x:c r="R34" s="9" t="inlineStr">
        <x:is>
          <x:t xml:space="preserve">SIP</x:t>
        </x:is>
      </x:c>
      <x:c r="S34" s="9" t="inlineStr">
        <x:is>
          <x:t xml:space="preserve">TES-0033</x:t>
        </x:is>
      </x:c>
    </x:row>
    <x:row r="35" ht="18" customHeight="1">
      <x:c r="A35" s="9" t="inlineStr">
        <x:is>
          <x:t xml:space="preserve">PRO-0034</x:t>
        </x:is>
      </x:c>
      <x:c r="B35" s="9" t="inlineStr">
        <x:is>
          <x:t xml:space="preserve">EMP-012</x:t>
        </x:is>
      </x:c>
      <x:c r="C35" s="9" t="inlineStr">
        <x:is>
          <x:t xml:space="preserve">MOD-0059</x:t>
        </x:is>
      </x:c>
      <x:c r="D35" s="9" t="inlineStr">
        <x:is>
          <x:t xml:space="preserve">Altos de Aysén 27</x:t>
        </x:is>
      </x:c>
      <x:c r="E35" s="9" t="inlineStr">
        <x:is>
          <x:t xml:space="preserve">Sí</x:t>
        </x:is>
      </x:c>
      <x:c r="F35" s="9" t="inlineStr">
        <x:is>
          <x:t xml:space="preserve">Daniela Alarcón Carrasco</x:t>
        </x:is>
      </x:c>
      <x:c r="G35" s="16" t="n">
        <x:v>44877</x:v>
      </x:c>
      <x:c r="H35" s="12" t="n">
        <x:v>114.1</x:v>
      </x:c>
      <x:c r="I35" s="9" t="inlineStr">
        <x:is>
          <x:t xml:space="preserve">Camino Río Claro 1172</x:t>
        </x:is>
      </x:c>
      <x:c r="J35" s="9" t="inlineStr">
        <x:is>
          <x:t xml:space="preserve">Valparaíso</x:t>
        </x:is>
      </x:c>
      <x:c r="K35" s="9" t="inlineStr">
        <x:is>
          <x:t xml:space="preserve">Valparaíso</x:t>
        </x:is>
      </x:c>
      <x:c r="L35" s="9" t="inlineStr">
        <x:is>
          <x:t xml:space="preserve">Valparaíso</x:t>
        </x:is>
      </x:c>
      <x:c r="M35" s="11" t="n">
        <x:v>-32.905015</x:v>
      </x:c>
      <x:c r="N35" s="11" t="n">
        <x:v>-71.424448</x:v>
      </x:c>
      <x:c r="O35" s="10" t="inlineStr">
        <x:is>
          <x:t xml:space="preserve">-32.905015, -71.424448</x:t>
        </x:is>
      </x:c>
      <x:c r="P35" s="9" t="inlineStr">
        <x:is>
          <x:t xml:space="preserve">Segunda vivienda</x:t>
        </x:is>
      </x:c>
      <x:c r="Q35" s="9" t="inlineStr">
        <x:is>
          <x:t xml:space="preserve">Entregado</x:t>
        </x:is>
      </x:c>
      <x:c r="R35" s="9" t="inlineStr">
        <x:is>
          <x:t xml:space="preserve">CONTAINER</x:t>
        </x:is>
      </x:c>
      <x:c r="S35" s="9" t="inlineStr">
        <x:is>
          <x:t xml:space="preserve">TES-0034</x:t>
        </x:is>
      </x:c>
    </x:row>
    <x:row r="36" ht="18" customHeight="1">
      <x:c r="A36" s="9" t="inlineStr">
        <x:is>
          <x:t xml:space="preserve">PRO-0035</x:t>
        </x:is>
      </x:c>
      <x:c r="B36" s="9" t="inlineStr">
        <x:is>
          <x:t xml:space="preserve">EMP-012</x:t>
        </x:is>
      </x:c>
      <x:c r="C36" s="9" t="inlineStr">
        <x:is>
          <x:t xml:space="preserve">MOD-0059</x:t>
        </x:is>
      </x:c>
      <x:c r="D36" s="9" t="inlineStr">
        <x:is>
          <x:t xml:space="preserve">Refugio Lonquimay 15</x:t>
        </x:is>
      </x:c>
      <x:c r="E36" s="9" t="inlineStr">
        <x:is>
          <x:t xml:space="preserve">Sí</x:t>
        </x:is>
      </x:c>
      <x:c r="F36" s="9" t="inlineStr">
        <x:is>
          <x:t xml:space="preserve">Diego Paredes Paredes</x:t>
        </x:is>
      </x:c>
      <x:c r="G36" s="16" t="n">
        <x:v>44491</x:v>
      </x:c>
      <x:c r="H36" s="12" t="n">
        <x:v>114.7</x:v>
      </x:c>
      <x:c r="I36" s="9" t="inlineStr">
        <x:is>
          <x:t xml:space="preserve">Parque Los Coigües 1442</x:t>
        </x:is>
      </x:c>
      <x:c r="J36" s="9" t="inlineStr">
        <x:is>
          <x:t xml:space="preserve">Valparaíso</x:t>
        </x:is>
      </x:c>
      <x:c r="K36" s="9" t="inlineStr">
        <x:is>
          <x:t xml:space="preserve">Valparaíso</x:t>
        </x:is>
      </x:c>
      <x:c r="L36" s="9" t="inlineStr">
        <x:is>
          <x:t xml:space="preserve">Valparaíso</x:t>
        </x:is>
      </x:c>
      <x:c r="M36" s="11" t="n">
        <x:v>-32.972185</x:v>
      </x:c>
      <x:c r="N36" s="11" t="n">
        <x:v>-71.255054</x:v>
      </x:c>
      <x:c r="O36" s="10" t="inlineStr">
        <x:is>
          <x:t xml:space="preserve">-32.972185, -71.255054</x:t>
        </x:is>
      </x:c>
      <x:c r="P36" s="9" t="inlineStr">
        <x:is>
          <x:t xml:space="preserve">Segunda vivienda</x:t>
        </x:is>
      </x:c>
      <x:c r="Q36" s="9" t="inlineStr">
        <x:is>
          <x:t xml:space="preserve">Entregado</x:t>
        </x:is>
      </x:c>
      <x:c r="R36" s="9" t="inlineStr">
        <x:is>
          <x:t xml:space="preserve">CONTAINER</x:t>
        </x:is>
      </x:c>
      <x:c r="S36" s="9" t="inlineStr">
        <x:is>
          <x:t xml:space="preserve">TES-0035</x:t>
        </x:is>
      </x:c>
    </x:row>
    <x:row r="37" ht="18" customHeight="1">
      <x:c r="A37" s="9" t="inlineStr">
        <x:is>
          <x:t xml:space="preserve">PRO-0036</x:t>
        </x:is>
      </x:c>
      <x:c r="B37" s="9" t="inlineStr">
        <x:is>
          <x:t xml:space="preserve">EMP-012</x:t>
        </x:is>
      </x:c>
      <x:c r="C37" s="9" t="inlineStr">
        <x:is>
          <x:t xml:space="preserve">MOD-0058</x:t>
        </x:is>
      </x:c>
      <x:c r="D37" s="9" t="inlineStr">
        <x:is>
          <x:t xml:space="preserve">Mirador Lonquimay 18</x:t>
        </x:is>
      </x:c>
      <x:c r="E37" s="9" t="inlineStr">
        <x:is>
          <x:t xml:space="preserve">Sí</x:t>
        </x:is>
      </x:c>
      <x:c r="F37" s="9" t="inlineStr">
        <x:is>
          <x:t xml:space="preserve">Diego Jara Araya</x:t>
        </x:is>
      </x:c>
      <x:c r="G37" s="16" t="n">
        <x:v>44775</x:v>
      </x:c>
      <x:c r="H37" s="12" t="n">
        <x:v>117.6</x:v>
      </x:c>
      <x:c r="I37" s="9" t="inlineStr">
        <x:is>
          <x:t xml:space="preserve">Camino La Frontera 1684</x:t>
        </x:is>
      </x:c>
      <x:c r="J37" s="9" t="inlineStr">
        <x:is>
          <x:t xml:space="preserve">Valparaíso</x:t>
        </x:is>
      </x:c>
      <x:c r="K37" s="9" t="inlineStr">
        <x:is>
          <x:t xml:space="preserve">Valparaíso</x:t>
        </x:is>
      </x:c>
      <x:c r="L37" s="9" t="inlineStr">
        <x:is>
          <x:t xml:space="preserve">Valparaíso</x:t>
        </x:is>
      </x:c>
      <x:c r="M37" s="11" t="n">
        <x:v>-32.980936</x:v>
      </x:c>
      <x:c r="N37" s="11" t="n">
        <x:v>-71.80488099999999</x:v>
      </x:c>
      <x:c r="O37" s="10" t="inlineStr">
        <x:is>
          <x:t xml:space="preserve">-32.980936, -71.804881</x:t>
        </x:is>
      </x:c>
      <x:c r="P37" s="9" t="inlineStr">
        <x:is>
          <x:t xml:space="preserve">Habitacional</x:t>
        </x:is>
      </x:c>
      <x:c r="Q37" s="9" t="inlineStr">
        <x:is>
          <x:t xml:space="preserve">Entregado</x:t>
        </x:is>
      </x:c>
      <x:c r="R37" s="9" t="inlineStr">
        <x:is>
          <x:t xml:space="preserve">SIP</x:t>
        </x:is>
      </x:c>
      <x:c r="S37" s="9" t="inlineStr">
        <x:is>
          <x:t xml:space="preserve">TES-0036</x:t>
        </x:is>
      </x:c>
    </x:row>
    <x:row r="38" ht="18" customHeight="1">
      <x:c r="A38" s="9" t="inlineStr">
        <x:is>
          <x:t xml:space="preserve">PRO-0037</x:t>
        </x:is>
      </x:c>
      <x:c r="B38" s="9" t="inlineStr">
        <x:is>
          <x:t xml:space="preserve">EMP-013</x:t>
        </x:is>
      </x:c>
      <x:c r="C38" s="9" t="inlineStr">
        <x:is>
          <x:t xml:space="preserve">MOD-0065</x:t>
        </x:is>
      </x:c>
      <x:c r="D38" s="9" t="inlineStr">
        <x:is>
          <x:t xml:space="preserve">Terraza Cobquecura 26</x:t>
        </x:is>
      </x:c>
      <x:c r="E38" s="9" t="inlineStr">
        <x:is>
          <x:t xml:space="preserve">Sí</x:t>
        </x:is>
      </x:c>
      <x:c r="F38" s="9" t="inlineStr">
        <x:is>
          <x:t xml:space="preserve">Maximiliano Salinas Acuña</x:t>
        </x:is>
      </x:c>
      <x:c r="G38" s="16" t="n">
        <x:v>44696</x:v>
      </x:c>
      <x:c r="H38" s="12" t="n">
        <x:v>214.5</x:v>
      </x:c>
      <x:c r="I38" s="9" t="inlineStr">
        <x:is>
          <x:t xml:space="preserve">Los La Montaña 1676</x:t>
        </x:is>
      </x:c>
      <x:c r="J38" s="9" t="inlineStr">
        <x:is>
          <x:t xml:space="preserve">Quilpué</x:t>
        </x:is>
      </x:c>
      <x:c r="K38" s="9" t="inlineStr">
        <x:is>
          <x:t xml:space="preserve">Quilpué</x:t>
        </x:is>
      </x:c>
      <x:c r="L38" s="9" t="inlineStr">
        <x:is>
          <x:t xml:space="preserve">Valparaíso</x:t>
        </x:is>
      </x:c>
      <x:c r="M38" s="11" t="n">
        <x:v>-32.748478</x:v>
      </x:c>
      <x:c r="N38" s="11" t="n">
        <x:v>-71.54061799999999</x:v>
      </x:c>
      <x:c r="O38" s="10" t="inlineStr">
        <x:is>
          <x:t xml:space="preserve">-32.748478, -71.540618</x:t>
        </x:is>
      </x:c>
      <x:c r="P38" s="9" t="inlineStr">
        <x:is>
          <x:t xml:space="preserve">Segunda vivienda</x:t>
        </x:is>
      </x:c>
      <x:c r="Q38" s="9" t="inlineStr">
        <x:is>
          <x:t xml:space="preserve">Entregado</x:t>
        </x:is>
      </x:c>
      <x:c r="R38" s="9" t="inlineStr">
        <x:is>
          <x:t xml:space="preserve">STEEL_FRAME</x:t>
        </x:is>
      </x:c>
      <x:c r="S38" s="9" t="inlineStr">
        <x:is>
          <x:t xml:space="preserve">TES-0037</x:t>
        </x:is>
      </x:c>
    </x:row>
    <x:row r="39" ht="18" customHeight="1">
      <x:c r="A39" s="9" t="inlineStr">
        <x:is>
          <x:t xml:space="preserve">PRO-0038</x:t>
        </x:is>
      </x:c>
      <x:c r="B39" s="9" t="inlineStr">
        <x:is>
          <x:t xml:space="preserve">EMP-013</x:t>
        </x:is>
      </x:c>
      <x:c r="C39" s="9" t="inlineStr">
        <x:is>
          <x:t xml:space="preserve">MOD-0062</x:t>
        </x:is>
      </x:c>
      <x:c r="D39" s="9" t="inlineStr">
        <x:is>
          <x:t xml:space="preserve">Mirador Natales 6</x:t>
        </x:is>
      </x:c>
      <x:c r="E39" s="9" t="inlineStr">
        <x:is>
          <x:t xml:space="preserve">Sí</x:t>
        </x:is>
      </x:c>
      <x:c r="F39" s="9" t="inlineStr">
        <x:is>
          <x:t xml:space="preserve">Gonzalo Campos Díaz</x:t>
        </x:is>
      </x:c>
      <x:c r="G39" s="16" t="n">
        <x:v>45711</x:v>
      </x:c>
      <x:c r="H39" s="12" t="n">
        <x:v>111.4</x:v>
      </x:c>
      <x:c r="I39" s="9" t="inlineStr">
        <x:is>
          <x:t xml:space="preserve">Sendero Los Volcanes 1146</x:t>
        </x:is>
      </x:c>
      <x:c r="J39" s="9" t="inlineStr">
        <x:is>
          <x:t xml:space="preserve">Quilpué</x:t>
        </x:is>
      </x:c>
      <x:c r="K39" s="9" t="inlineStr">
        <x:is>
          <x:t xml:space="preserve">Quilpué</x:t>
        </x:is>
      </x:c>
      <x:c r="L39" s="9" t="inlineStr">
        <x:is>
          <x:t xml:space="preserve">Valparaíso</x:t>
        </x:is>
      </x:c>
      <x:c r="M39" s="11" t="n">
        <x:v>-33.02827</x:v>
      </x:c>
      <x:c r="N39" s="11" t="n">
        <x:v>-71.468649</x:v>
      </x:c>
      <x:c r="O39" s="10" t="inlineStr">
        <x:is>
          <x:t xml:space="preserve">-33.02827, -71.468649</x:t>
        </x:is>
      </x:c>
      <x:c r="P39" s="9" t="inlineStr">
        <x:is>
          <x:t xml:space="preserve">Turismo</x:t>
        </x:is>
      </x:c>
      <x:c r="Q39" s="9" t="inlineStr">
        <x:is>
          <x:t xml:space="preserve">Postventa cerrada</x:t>
        </x:is>
      </x:c>
      <x:c r="R39" s="9" t="inlineStr">
        <x:is>
          <x:t xml:space="preserve">MODULAR_TIMBER</x:t>
        </x:is>
      </x:c>
      <x:c r="S39" s="9" t="inlineStr">
        <x:is>
          <x:t xml:space="preserve">TES-0038</x:t>
        </x:is>
      </x:c>
    </x:row>
    <x:row r="40" ht="18" customHeight="1">
      <x:c r="A40" s="9" t="inlineStr">
        <x:is>
          <x:t xml:space="preserve">PRO-0039</x:t>
        </x:is>
      </x:c>
      <x:c r="B40" s="9" t="inlineStr">
        <x:is>
          <x:t xml:space="preserve">EMP-013</x:t>
        </x:is>
      </x:c>
      <x:c r="C40" s="9" t="inlineStr">
        <x:is>
          <x:t xml:space="preserve">MOD-0065</x:t>
        </x:is>
      </x:c>
      <x:c r="D40" s="9" t="inlineStr">
        <x:is>
          <x:t xml:space="preserve">Parcela Puyehue 22</x:t>
        </x:is>
      </x:c>
      <x:c r="E40" s="9" t="inlineStr">
        <x:is>
          <x:t xml:space="preserve">Sí</x:t>
        </x:is>
      </x:c>
      <x:c r="F40" s="9" t="inlineStr">
        <x:is>
          <x:t xml:space="preserve">Paz Lagos Valdés</x:t>
        </x:is>
      </x:c>
      <x:c r="G40" s="16" t="n">
        <x:v>45209</x:v>
      </x:c>
      <x:c r="H40" s="12" t="n">
        <x:v>217.1</x:v>
      </x:c>
      <x:c r="I40" s="9" t="inlineStr">
        <x:is>
          <x:t xml:space="preserve">Pasaje Los Tijerales 1859</x:t>
        </x:is>
      </x:c>
      <x:c r="J40" s="9" t="inlineStr">
        <x:is>
          <x:t xml:space="preserve">Quilpué</x:t>
        </x:is>
      </x:c>
      <x:c r="K40" s="9" t="inlineStr">
        <x:is>
          <x:t xml:space="preserve">Quilpué</x:t>
        </x:is>
      </x:c>
      <x:c r="L40" s="9" t="inlineStr">
        <x:is>
          <x:t xml:space="preserve">Valparaíso</x:t>
        </x:is>
      </x:c>
      <x:c r="M40" s="11" t="n">
        <x:v>-33.387164</x:v>
      </x:c>
      <x:c r="N40" s="11" t="n">
        <x:v>-71.65696199999999</x:v>
      </x:c>
      <x:c r="O40" s="10" t="inlineStr">
        <x:is>
          <x:t xml:space="preserve">-33.387164, -71.656962</x:t>
        </x:is>
      </x:c>
      <x:c r="P40" s="9" t="inlineStr">
        <x:is>
          <x:t xml:space="preserve">Habitacional + home office</x:t>
        </x:is>
      </x:c>
      <x:c r="Q40" s="9" t="inlineStr">
        <x:is>
          <x:t xml:space="preserve">Postventa cerrada</x:t>
        </x:is>
      </x:c>
      <x:c r="R40" s="9" t="inlineStr">
        <x:is>
          <x:t xml:space="preserve">STEEL_FRAME</x:t>
        </x:is>
      </x:c>
      <x:c r="S40" s="9" t="inlineStr">
        <x:is>
          <x:t xml:space="preserve">TES-0039</x:t>
        </x:is>
      </x:c>
    </x:row>
    <x:row r="41" ht="18" customHeight="1">
      <x:c r="A41" s="9" t="inlineStr">
        <x:is>
          <x:t xml:space="preserve">PRO-0040</x:t>
        </x:is>
      </x:c>
      <x:c r="B41" s="9" t="inlineStr">
        <x:is>
          <x:t xml:space="preserve">EMP-014</x:t>
        </x:is>
      </x:c>
      <x:c r="C41" s="9" t="inlineStr">
        <x:is>
          <x:t xml:space="preserve">MOD-0070</x:t>
        </x:is>
      </x:c>
      <x:c r="D41" s="9" t="inlineStr">
        <x:is>
          <x:t xml:space="preserve">Refugio Aysén 19</x:t>
        </x:is>
      </x:c>
      <x:c r="E41" s="9" t="inlineStr">
        <x:is>
          <x:t xml:space="preserve">Sí</x:t>
        </x:is>
      </x:c>
      <x:c r="F41" s="9" t="inlineStr">
        <x:is>
          <x:t xml:space="preserve">Simón Bustos Molina</x:t>
        </x:is>
      </x:c>
      <x:c r="G41" s="16" t="n">
        <x:v>44618</x:v>
      </x:c>
      <x:c r="H41" s="12" t="n">
        <x:v>182.8</x:v>
      </x:c>
      <x:c r="I41" s="9" t="inlineStr">
        <x:is>
          <x:t xml:space="preserve">Calle Las Bandurrias 1480</x:t>
        </x:is>
      </x:c>
      <x:c r="J41" s="9" t="inlineStr">
        <x:is>
          <x:t xml:space="preserve">Santiago</x:t>
        </x:is>
      </x:c>
      <x:c r="K41" s="9" t="inlineStr">
        <x:is>
          <x:t xml:space="preserve">Santiago</x:t>
        </x:is>
      </x:c>
      <x:c r="L41" s="9" t="inlineStr">
        <x:is>
          <x:t xml:space="preserve">Metropolitana de Santiago</x:t>
        </x:is>
      </x:c>
      <x:c r="M41" s="11" t="n">
        <x:v>-33.612201</x:v>
      </x:c>
      <x:c r="N41" s="11" t="n">
        <x:v>-70.66640599999999</x:v>
      </x:c>
      <x:c r="O41" s="10" t="inlineStr">
        <x:is>
          <x:t xml:space="preserve">-33.612201, -70.666406</x:t>
        </x:is>
      </x:c>
      <x:c r="P41" s="9" t="inlineStr">
        <x:is>
          <x:t xml:space="preserve">Habitacional</x:t>
        </x:is>
      </x:c>
      <x:c r="Q41" s="9" t="inlineStr">
        <x:is>
          <x:t xml:space="preserve">Postventa cerrada</x:t>
        </x:is>
      </x:c>
      <x:c r="R41" s="9" t="inlineStr">
        <x:is>
          <x:t xml:space="preserve">STEEL_FRAME</x:t>
        </x:is>
      </x:c>
      <x:c r="S41" s="9" t="inlineStr">
        <x:is>
          <x:t xml:space="preserve">TES-0040</x:t>
        </x:is>
      </x:c>
    </x:row>
    <x:row r="42" ht="18" customHeight="1">
      <x:c r="A42" s="9" t="inlineStr">
        <x:is>
          <x:t xml:space="preserve">PRO-0041</x:t>
        </x:is>
      </x:c>
      <x:c r="B42" s="9" t="inlineStr">
        <x:is>
          <x:t xml:space="preserve">EMP-014</x:t>
        </x:is>
      </x:c>
      <x:c r="C42" s="9" t="inlineStr">
        <x:is>
          <x:t xml:space="preserve">MOD-0068</x:t>
        </x:is>
      </x:c>
      <x:c r="D42" s="9" t="inlineStr">
        <x:is>
          <x:t xml:space="preserve">Bosques de Cautín 13</x:t>
        </x:is>
      </x:c>
      <x:c r="E42" s="9" t="inlineStr">
        <x:is>
          <x:t xml:space="preserve">Sí</x:t>
        </x:is>
      </x:c>
      <x:c r="F42" s="9" t="inlineStr">
        <x:is>
          <x:t xml:space="preserve">Francisca Muñoz Pérez</x:t>
        </x:is>
      </x:c>
      <x:c r="G42" s="16" t="n">
        <x:v>45637</x:v>
      </x:c>
      <x:c r="H42" s="12" t="n">
        <x:v>98.2</x:v>
      </x:c>
      <x:c r="I42" s="9" t="inlineStr">
        <x:is>
          <x:t xml:space="preserve">Calle Los Carpinteros 491</x:t>
        </x:is>
      </x:c>
      <x:c r="J42" s="9" t="inlineStr">
        <x:is>
          <x:t xml:space="preserve">Santiago</x:t>
        </x:is>
      </x:c>
      <x:c r="K42" s="9" t="inlineStr">
        <x:is>
          <x:t xml:space="preserve">Santiago</x:t>
        </x:is>
      </x:c>
      <x:c r="L42" s="9" t="inlineStr">
        <x:is>
          <x:t xml:space="preserve">Metropolitana de Santiago</x:t>
        </x:is>
      </x:c>
      <x:c r="M42" s="11" t="n">
        <x:v>-33.148732</x:v>
      </x:c>
      <x:c r="N42" s="11" t="n">
        <x:v>-70.98881</x:v>
      </x:c>
      <x:c r="O42" s="10" t="inlineStr">
        <x:is>
          <x:t xml:space="preserve">-33.148732, -70.98881</x:t>
        </x:is>
      </x:c>
      <x:c r="P42" s="9" t="inlineStr">
        <x:is>
          <x:t xml:space="preserve">Turismo</x:t>
        </x:is>
      </x:c>
      <x:c r="Q42" s="9" t="inlineStr">
        <x:is>
          <x:t xml:space="preserve">Postventa cerrada</x:t>
        </x:is>
      </x:c>
      <x:c r="R42" s="9" t="inlineStr">
        <x:is>
          <x:t xml:space="preserve">HYBRID_MODULAR</x:t>
        </x:is>
      </x:c>
      <x:c r="S42" s="9" t="inlineStr">
        <x:is>
          <x:t xml:space="preserve">TES-0041</x:t>
        </x:is>
      </x:c>
    </x:row>
    <x:row r="43" ht="18" customHeight="1">
      <x:c r="A43" s="9" t="inlineStr">
        <x:is>
          <x:t xml:space="preserve">PRO-0042</x:t>
        </x:is>
      </x:c>
      <x:c r="B43" s="9" t="inlineStr">
        <x:is>
          <x:t xml:space="preserve">EMP-014</x:t>
        </x:is>
      </x:c>
      <x:c r="C43" s="9" t="inlineStr">
        <x:is>
          <x:t xml:space="preserve">MOD-0070</x:t>
        </x:is>
      </x:c>
      <x:c r="D43" s="9" t="inlineStr">
        <x:is>
          <x:t xml:space="preserve">Loteo Puyehue 5</x:t>
        </x:is>
      </x:c>
      <x:c r="E43" s="9" t="inlineStr">
        <x:is>
          <x:t xml:space="preserve">Sí</x:t>
        </x:is>
      </x:c>
      <x:c r="F43" s="9" t="inlineStr">
        <x:is>
          <x:t xml:space="preserve">Isidora Campos Castillo</x:t>
        </x:is>
      </x:c>
      <x:c r="G43" s="16" t="n">
        <x:v>45169</x:v>
      </x:c>
      <x:c r="H43" s="12" t="n">
        <x:v>170.4</x:v>
      </x:c>
      <x:c r="I43" s="9" t="inlineStr">
        <x:is>
          <x:t xml:space="preserve">Los Las Bandurrias 325</x:t>
        </x:is>
      </x:c>
      <x:c r="J43" s="9" t="inlineStr">
        <x:is>
          <x:t xml:space="preserve">Santiago</x:t>
        </x:is>
      </x:c>
      <x:c r="K43" s="9" t="inlineStr">
        <x:is>
          <x:t xml:space="preserve">Santiago</x:t>
        </x:is>
      </x:c>
      <x:c r="L43" s="9" t="inlineStr">
        <x:is>
          <x:t xml:space="preserve">Metropolitana de Santiago</x:t>
        </x:is>
      </x:c>
      <x:c r="M43" s="11" t="n">
        <x:v>-33.445024</x:v>
      </x:c>
      <x:c r="N43" s="11" t="n">
        <x:v>-70.47526999999999</x:v>
      </x:c>
      <x:c r="O43" s="10" t="inlineStr">
        <x:is>
          <x:t xml:space="preserve">-33.445024, -70.47527</x:t>
        </x:is>
      </x:c>
      <x:c r="P43" s="9" t="inlineStr">
        <x:is>
          <x:t xml:space="preserve">Habitacional</x:t>
        </x:is>
      </x:c>
      <x:c r="Q43" s="9" t="inlineStr">
        <x:is>
          <x:t xml:space="preserve">Entregado</x:t>
        </x:is>
      </x:c>
      <x:c r="R43" s="9" t="inlineStr">
        <x:is>
          <x:t xml:space="preserve">STEEL_FRAME</x:t>
        </x:is>
      </x:c>
      <x:c r="S43" s="9" t="inlineStr">
        <x:is>
          <x:t xml:space="preserve">TES-0042</x:t>
        </x:is>
      </x:c>
    </x:row>
    <x:row r="44" ht="18" customHeight="1">
      <x:c r="A44" s="9" t="inlineStr">
        <x:is>
          <x:t xml:space="preserve">PRO-0043</x:t>
        </x:is>
      </x:c>
      <x:c r="B44" s="9" t="inlineStr">
        <x:is>
          <x:t xml:space="preserve">EMP-015</x:t>
        </x:is>
      </x:c>
      <x:c r="C44" s="9" t="inlineStr">
        <x:is>
          <x:t xml:space="preserve">MOD-0074</x:t>
        </x:is>
      </x:c>
      <x:c r="D44" s="9" t="inlineStr">
        <x:is>
          <x:t xml:space="preserve">Vista Baker 14</x:t>
        </x:is>
      </x:c>
      <x:c r="E44" s="9" t="inlineStr">
        <x:is>
          <x:t xml:space="preserve">Sí</x:t>
        </x:is>
      </x:c>
      <x:c r="F44" s="9" t="inlineStr">
        <x:is>
          <x:t xml:space="preserve">Gonzalo Escobar Torres</x:t>
        </x:is>
      </x:c>
      <x:c r="G44" s="16" t="n">
        <x:v>44370</x:v>
      </x:c>
      <x:c r="H44" s="12" t="n">
        <x:v>116.1</x:v>
      </x:c>
      <x:c r="I44" s="9" t="inlineStr">
        <x:is>
          <x:t xml:space="preserve">Parque Radal 378</x:t>
        </x:is>
      </x:c>
      <x:c r="J44" s="9" t="inlineStr">
        <x:is>
          <x:t xml:space="preserve">Colina</x:t>
        </x:is>
      </x:c>
      <x:c r="K44" s="9" t="inlineStr">
        <x:is>
          <x:t xml:space="preserve">Santiago</x:t>
        </x:is>
      </x:c>
      <x:c r="L44" s="9" t="inlineStr">
        <x:is>
          <x:t xml:space="preserve">Metropolitana de Santiago</x:t>
        </x:is>
      </x:c>
      <x:c r="M44" s="11" t="n">
        <x:v>-32.963503</x:v>
      </x:c>
      <x:c r="N44" s="11" t="n">
        <x:v>-70.45748</x:v>
      </x:c>
      <x:c r="O44" s="10" t="inlineStr">
        <x:is>
          <x:t xml:space="preserve">-32.963503, -70.45748</x:t>
        </x:is>
      </x:c>
      <x:c r="P44" s="9" t="inlineStr">
        <x:is>
          <x:t xml:space="preserve">Parcela</x:t>
        </x:is>
      </x:c>
      <x:c r="Q44" s="9" t="inlineStr">
        <x:is>
          <x:t xml:space="preserve">Postventa cerrada</x:t>
        </x:is>
      </x:c>
      <x:c r="R44" s="9" t="inlineStr">
        <x:is>
          <x:t xml:space="preserve">MODULAR_TIMBER</x:t>
        </x:is>
      </x:c>
      <x:c r="S44" s="9" t="inlineStr">
        <x:is>
          <x:t xml:space="preserve">TES-0043</x:t>
        </x:is>
      </x:c>
    </x:row>
    <x:row r="45" ht="18" customHeight="1">
      <x:c r="A45" s="9" t="inlineStr">
        <x:is>
          <x:t xml:space="preserve">PRO-0044</x:t>
        </x:is>
      </x:c>
      <x:c r="B45" s="9" t="inlineStr">
        <x:is>
          <x:t xml:space="preserve">EMP-015</x:t>
        </x:is>
      </x:c>
      <x:c r="C45" s="9" t="inlineStr">
        <x:is>
          <x:t xml:space="preserve">MOD-0072</x:t>
        </x:is>
      </x:c>
      <x:c r="D45" s="9" t="inlineStr">
        <x:is>
          <x:t xml:space="preserve">Terraza Elqui 2</x:t>
        </x:is>
      </x:c>
      <x:c r="E45" s="9" t="inlineStr">
        <x:is>
          <x:t xml:space="preserve">Sí</x:t>
        </x:is>
      </x:c>
      <x:c r="F45" s="9" t="inlineStr">
        <x:is>
          <x:t xml:space="preserve">Sofía Sandoval Pérez</x:t>
        </x:is>
      </x:c>
      <x:c r="G45" s="16" t="n">
        <x:v>45380</x:v>
      </x:c>
      <x:c r="H45" s="12" t="n">
        <x:v>105.5</x:v>
      </x:c>
      <x:c r="I45" s="9" t="inlineStr">
        <x:is>
          <x:t xml:space="preserve">Calle Las Bandurrias 1128</x:t>
        </x:is>
      </x:c>
      <x:c r="J45" s="9" t="inlineStr">
        <x:is>
          <x:t xml:space="preserve">Colina</x:t>
        </x:is>
      </x:c>
      <x:c r="K45" s="9" t="inlineStr">
        <x:is>
          <x:t xml:space="preserve">Santiago</x:t>
        </x:is>
      </x:c>
      <x:c r="L45" s="9" t="inlineStr">
        <x:is>
          <x:t xml:space="preserve">Metropolitana de Santiago</x:t>
        </x:is>
      </x:c>
      <x:c r="M45" s="11" t="n">
        <x:v>-33.016023</x:v>
      </x:c>
      <x:c r="N45" s="11" t="n">
        <x:v>-70.56109600000001</x:v>
      </x:c>
      <x:c r="O45" s="10" t="inlineStr">
        <x:is>
          <x:t xml:space="preserve">-33.016023, -70.561096</x:t>
        </x:is>
      </x:c>
      <x:c r="P45" s="9" t="inlineStr">
        <x:is>
          <x:t xml:space="preserve">Habitacional</x:t>
        </x:is>
      </x:c>
      <x:c r="Q45" s="9" t="inlineStr">
        <x:is>
          <x:t xml:space="preserve">Postventa cerrada</x:t>
        </x:is>
      </x:c>
      <x:c r="R45" s="9" t="inlineStr">
        <x:is>
          <x:t xml:space="preserve">STEEL_FRAME</x:t>
        </x:is>
      </x:c>
      <x:c r="S45" s="9" t="inlineStr">
        <x:is>
          <x:t xml:space="preserve">TES-0044</x:t>
        </x:is>
      </x:c>
    </x:row>
    <x:row r="46" ht="18" customHeight="1">
      <x:c r="A46" s="9" t="inlineStr">
        <x:is>
          <x:t xml:space="preserve">PRO-0045</x:t>
        </x:is>
      </x:c>
      <x:c r="B46" s="9" t="inlineStr">
        <x:is>
          <x:t xml:space="preserve">EMP-015</x:t>
        </x:is>
      </x:c>
      <x:c r="C46" s="9" t="inlineStr">
        <x:is>
          <x:t xml:space="preserve">MOD-0074</x:t>
        </x:is>
      </x:c>
      <x:c r="D46" s="9" t="inlineStr">
        <x:is>
          <x:t xml:space="preserve">Mirador Baker 20</x:t>
        </x:is>
      </x:c>
      <x:c r="E46" s="9" t="inlineStr">
        <x:is>
          <x:t xml:space="preserve">Sí</x:t>
        </x:is>
      </x:c>
      <x:c r="F46" s="9" t="inlineStr">
        <x:is>
          <x:t xml:space="preserve">Manuel Soto Sepúlveda</x:t>
        </x:is>
      </x:c>
      <x:c r="G46" s="16" t="n">
        <x:v>45692</x:v>
      </x:c>
      <x:c r="H46" s="12" t="n">
        <x:v>125.4</x:v>
      </x:c>
      <x:c r="I46" s="9" t="inlineStr">
        <x:is>
          <x:t xml:space="preserve">Calle Río Claro 1068</x:t>
        </x:is>
      </x:c>
      <x:c r="J46" s="9" t="inlineStr">
        <x:is>
          <x:t xml:space="preserve">Colina</x:t>
        </x:is>
      </x:c>
      <x:c r="K46" s="9" t="inlineStr">
        <x:is>
          <x:t xml:space="preserve">Santiago</x:t>
        </x:is>
      </x:c>
      <x:c r="L46" s="9" t="inlineStr">
        <x:is>
          <x:t xml:space="preserve">Metropolitana de Santiago</x:t>
        </x:is>
      </x:c>
      <x:c r="M46" s="11" t="n">
        <x:v>-32.839157</x:v>
      </x:c>
      <x:c r="N46" s="11" t="n">
        <x:v>-70.371019</x:v>
      </x:c>
      <x:c r="O46" s="10" t="inlineStr">
        <x:is>
          <x:t xml:space="preserve">-32.839157, -70.371019</x:t>
        </x:is>
      </x:c>
      <x:c r="P46" s="9" t="inlineStr">
        <x:is>
          <x:t xml:space="preserve">Habitacional</x:t>
        </x:is>
      </x:c>
      <x:c r="Q46" s="9" t="inlineStr">
        <x:is>
          <x:t xml:space="preserve">Entregado</x:t>
        </x:is>
      </x:c>
      <x:c r="R46" s="9" t="inlineStr">
        <x:is>
          <x:t xml:space="preserve">MODULAR_TIMBER</x:t>
        </x:is>
      </x:c>
      <x:c r="S46" s="9" t="inlineStr">
        <x:is>
          <x:t xml:space="preserve">TES-0045</x:t>
        </x:is>
      </x:c>
    </x:row>
    <x:row r="47" ht="18" customHeight="1">
      <x:c r="A47" s="9" t="inlineStr">
        <x:is>
          <x:t xml:space="preserve">PRO-0046</x:t>
        </x:is>
      </x:c>
      <x:c r="B47" s="9" t="inlineStr">
        <x:is>
          <x:t xml:space="preserve">EMP-016</x:t>
        </x:is>
      </x:c>
      <x:c r="C47" s="9" t="inlineStr">
        <x:is>
          <x:t xml:space="preserve">MOD-0076</x:t>
        </x:is>
      </x:c>
      <x:c r="D47" s="9" t="inlineStr">
        <x:is>
          <x:t xml:space="preserve">Casa Calafquén 19</x:t>
        </x:is>
      </x:c>
      <x:c r="E47" s="9" t="inlineStr">
        <x:is>
          <x:t xml:space="preserve">Sí</x:t>
        </x:is>
      </x:c>
      <x:c r="F47" s="9" t="inlineStr">
        <x:is>
          <x:t xml:space="preserve">Elena Orellana Peña</x:t>
        </x:is>
      </x:c>
      <x:c r="G47" s="16" t="n">
        <x:v>45831</x:v>
      </x:c>
      <x:c r="H47" s="12" t="n">
        <x:v>67.7</x:v>
      </x:c>
      <x:c r="I47" s="9" t="inlineStr">
        <x:is>
          <x:t xml:space="preserve">Av. Ruta Modular 939</x:t>
        </x:is>
      </x:c>
      <x:c r="J47" s="9" t="inlineStr">
        <x:is>
          <x:t xml:space="preserve">Lampa</x:t>
        </x:is>
      </x:c>
      <x:c r="K47" s="9" t="inlineStr">
        <x:is>
          <x:t xml:space="preserve">Santiago</x:t>
        </x:is>
      </x:c>
      <x:c r="L47" s="9" t="inlineStr">
        <x:is>
          <x:t xml:space="preserve">Metropolitana de Santiago</x:t>
        </x:is>
      </x:c>
      <x:c r="M47" s="11" t="n">
        <x:v>-33.218307</x:v>
      </x:c>
      <x:c r="N47" s="11" t="n">
        <x:v>-70.66649700000001</x:v>
      </x:c>
      <x:c r="O47" s="10" t="inlineStr">
        <x:is>
          <x:t xml:space="preserve">-33.218307, -70.666497</x:t>
        </x:is>
      </x:c>
      <x:c r="P47" s="9" t="inlineStr">
        <x:is>
          <x:t xml:space="preserve">Turismo</x:t>
        </x:is>
      </x:c>
      <x:c r="Q47" s="9" t="inlineStr">
        <x:is>
          <x:t xml:space="preserve">Postventa cerrada</x:t>
        </x:is>
      </x:c>
      <x:c r="R47" s="9" t="inlineStr">
        <x:is>
          <x:t xml:space="preserve">SIP</x:t>
        </x:is>
      </x:c>
      <x:c r="S47" s="9" t="inlineStr">
        <x:is>
          <x:t xml:space="preserve">TES-0046</x:t>
        </x:is>
      </x:c>
    </x:row>
    <x:row r="48" ht="18" customHeight="1">
      <x:c r="A48" s="9" t="inlineStr">
        <x:is>
          <x:t xml:space="preserve">PRO-0047</x:t>
        </x:is>
      </x:c>
      <x:c r="B48" s="9" t="inlineStr">
        <x:is>
          <x:t xml:space="preserve">EMP-016</x:t>
        </x:is>
      </x:c>
      <x:c r="C48" s="9" t="inlineStr">
        <x:is>
          <x:t xml:space="preserve">MOD-0077</x:t>
        </x:is>
      </x:c>
      <x:c r="D48" s="9" t="inlineStr">
        <x:is>
          <x:t xml:space="preserve">Terraza Licanray 22</x:t>
        </x:is>
      </x:c>
      <x:c r="E48" s="9" t="inlineStr">
        <x:is>
          <x:t xml:space="preserve">Sí</x:t>
        </x:is>
      </x:c>
      <x:c r="F48" s="9" t="inlineStr">
        <x:is>
          <x:t xml:space="preserve">Benjamín Bravo Sandoval</x:t>
        </x:is>
      </x:c>
      <x:c r="G48" s="16" t="n">
        <x:v>45731</x:v>
      </x:c>
      <x:c r="H48" s="12" t="n">
        <x:v>87.09999999999999</x:v>
      </x:c>
      <x:c r="I48" s="9" t="inlineStr">
        <x:is>
          <x:t xml:space="preserve">Sendero Los Tijerales 356</x:t>
        </x:is>
      </x:c>
      <x:c r="J48" s="9" t="inlineStr">
        <x:is>
          <x:t xml:space="preserve">Lampa</x:t>
        </x:is>
      </x:c>
      <x:c r="K48" s="9" t="inlineStr">
        <x:is>
          <x:t xml:space="preserve">Santiago</x:t>
        </x:is>
      </x:c>
      <x:c r="L48" s="9" t="inlineStr">
        <x:is>
          <x:t xml:space="preserve">Metropolitana de Santiago</x:t>
        </x:is>
      </x:c>
      <x:c r="M48" s="11" t="n">
        <x:v>-33.097919</x:v>
      </x:c>
      <x:c r="N48" s="11" t="n">
        <x:v>-71.116697</x:v>
      </x:c>
      <x:c r="O48" s="10" t="inlineStr">
        <x:is>
          <x:t xml:space="preserve">-33.097919, -71.116697</x:t>
        </x:is>
      </x:c>
      <x:c r="P48" s="9" t="inlineStr">
        <x:is>
          <x:t xml:space="preserve">Turismo</x:t>
        </x:is>
      </x:c>
      <x:c r="Q48" s="9" t="inlineStr">
        <x:is>
          <x:t xml:space="preserve">Entregado</x:t>
        </x:is>
      </x:c>
      <x:c r="R48" s="9" t="inlineStr">
        <x:is>
          <x:t xml:space="preserve">SIP</x:t>
        </x:is>
      </x:c>
      <x:c r="S48" s="9" t="inlineStr">
        <x:is>
          <x:t xml:space="preserve">TES-0047</x:t>
        </x:is>
      </x:c>
    </x:row>
    <x:row r="49" ht="18" customHeight="1">
      <x:c r="A49" s="9" t="inlineStr">
        <x:is>
          <x:t xml:space="preserve">PRO-0048</x:t>
        </x:is>
      </x:c>
      <x:c r="B49" s="9" t="inlineStr">
        <x:is>
          <x:t xml:space="preserve">EMP-016</x:t>
        </x:is>
      </x:c>
      <x:c r="C49" s="9" t="inlineStr">
        <x:is>
          <x:t xml:space="preserve">MOD-0077</x:t>
        </x:is>
      </x:c>
      <x:c r="D49" s="9" t="inlineStr">
        <x:is>
          <x:t xml:space="preserve">Terraza Valdivia 19</x:t>
        </x:is>
      </x:c>
      <x:c r="E49" s="9" t="inlineStr">
        <x:is>
          <x:t xml:space="preserve">Sí</x:t>
        </x:is>
      </x:c>
      <x:c r="F49" s="9" t="inlineStr">
        <x:is>
          <x:t xml:space="preserve">Álvaro Díaz Fuentes</x:t>
        </x:is>
      </x:c>
      <x:c r="G49" s="16" t="n">
        <x:v>44713</x:v>
      </x:c>
      <x:c r="H49" s="12" t="n">
        <x:v>85.09999999999999</x:v>
      </x:c>
      <x:c r="I49" s="9" t="inlineStr">
        <x:is>
          <x:t xml:space="preserve">Av. Los Arrayanes 238</x:t>
        </x:is>
      </x:c>
      <x:c r="J49" s="9" t="inlineStr">
        <x:is>
          <x:t xml:space="preserve">Lampa</x:t>
        </x:is>
      </x:c>
      <x:c r="K49" s="9" t="inlineStr">
        <x:is>
          <x:t xml:space="preserve">Santiago</x:t>
        </x:is>
      </x:c>
      <x:c r="L49" s="9" t="inlineStr">
        <x:is>
          <x:t xml:space="preserve">Metropolitana de Santiago</x:t>
        </x:is>
      </x:c>
      <x:c r="M49" s="11" t="n">
        <x:v>-33.450754</x:v>
      </x:c>
      <x:c r="N49" s="11" t="n">
        <x:v>-70.69850599999999</x:v>
      </x:c>
      <x:c r="O49" s="10" t="inlineStr">
        <x:is>
          <x:t xml:space="preserve">-33.450754, -70.698506</x:t>
        </x:is>
      </x:c>
      <x:c r="P49" s="9" t="inlineStr">
        <x:is>
          <x:t xml:space="preserve">Habitacional + home office</x:t>
        </x:is>
      </x:c>
      <x:c r="Q49" s="9" t="inlineStr">
        <x:is>
          <x:t xml:space="preserve">Postventa cerrada</x:t>
        </x:is>
      </x:c>
      <x:c r="R49" s="9" t="inlineStr">
        <x:is>
          <x:t xml:space="preserve">SIP</x:t>
        </x:is>
      </x:c>
      <x:c r="S49" s="9" t="inlineStr">
        <x:is>
          <x:t xml:space="preserve">TES-0048</x:t>
        </x:is>
      </x:c>
    </x:row>
    <x:row r="50" ht="18" customHeight="1">
      <x:c r="A50" s="9" t="inlineStr">
        <x:is>
          <x:t xml:space="preserve">PRO-0049</x:t>
        </x:is>
      </x:c>
      <x:c r="B50" s="9" t="inlineStr">
        <x:is>
          <x:t xml:space="preserve">EMP-017</x:t>
        </x:is>
      </x:c>
      <x:c r="C50" s="9" t="inlineStr">
        <x:is>
          <x:t xml:space="preserve">MOD-0082</x:t>
        </x:is>
      </x:c>
      <x:c r="D50" s="9" t="inlineStr">
        <x:is>
          <x:t xml:space="preserve">Bosques de Cochamó 8</x:t>
        </x:is>
      </x:c>
      <x:c r="E50" s="9" t="inlineStr">
        <x:is>
          <x:t xml:space="preserve">Sí</x:t>
        </x:is>
      </x:c>
      <x:c r="F50" s="9" t="inlineStr">
        <x:is>
          <x:t xml:space="preserve">Camila Castillo Cortés</x:t>
        </x:is>
      </x:c>
      <x:c r="G50" s="16" t="n">
        <x:v>45962</x:v>
      </x:c>
      <x:c r="H50" s="12" t="n">
        <x:v>76.3</x:v>
      </x:c>
      <x:c r="I50" s="9" t="inlineStr">
        <x:is>
          <x:t xml:space="preserve">Pasaje Ruta Modular 1551</x:t>
        </x:is>
      </x:c>
      <x:c r="J50" s="9" t="inlineStr">
        <x:is>
          <x:t xml:space="preserve">Maipú</x:t>
        </x:is>
      </x:c>
      <x:c r="K50" s="9" t="inlineStr">
        <x:is>
          <x:t xml:space="preserve">Santiago</x:t>
        </x:is>
      </x:c>
      <x:c r="L50" s="9" t="inlineStr">
        <x:is>
          <x:t xml:space="preserve">Metropolitana de Santiago</x:t>
        </x:is>
      </x:c>
      <x:c r="M50" s="11" t="n">
        <x:v>-33.110823</x:v>
      </x:c>
      <x:c r="N50" s="11" t="n">
        <x:v>-70.50949199999999</x:v>
      </x:c>
      <x:c r="O50" s="10" t="inlineStr">
        <x:is>
          <x:t xml:space="preserve">-33.110823, -70.509492</x:t>
        </x:is>
      </x:c>
      <x:c r="P50" s="9" t="inlineStr">
        <x:is>
          <x:t xml:space="preserve">Segunda vivienda</x:t>
        </x:is>
      </x:c>
      <x:c r="Q50" s="9" t="inlineStr">
        <x:is>
          <x:t xml:space="preserve">Entregado</x:t>
        </x:is>
      </x:c>
      <x:c r="R50" s="9" t="inlineStr">
        <x:is>
          <x:t xml:space="preserve">STEEL_FRAME</x:t>
        </x:is>
      </x:c>
      <x:c r="S50" s="9" t="inlineStr">
        <x:is>
          <x:t xml:space="preserve">TES-0049</x:t>
        </x:is>
      </x:c>
    </x:row>
    <x:row r="51" ht="18" customHeight="1">
      <x:c r="A51" s="9" t="inlineStr">
        <x:is>
          <x:t xml:space="preserve">PRO-0050</x:t>
        </x:is>
      </x:c>
      <x:c r="B51" s="9" t="inlineStr">
        <x:is>
          <x:t xml:space="preserve">EMP-017</x:t>
        </x:is>
      </x:c>
      <x:c r="C51" s="9" t="inlineStr">
        <x:is>
          <x:t xml:space="preserve">MOD-0083</x:t>
        </x:is>
      </x:c>
      <x:c r="D51" s="9" t="inlineStr">
        <x:is>
          <x:t xml:space="preserve">Casa Pucón 13</x:t>
        </x:is>
      </x:c>
      <x:c r="E51" s="9" t="inlineStr">
        <x:is>
          <x:t xml:space="preserve">Sí</x:t>
        </x:is>
      </x:c>
      <x:c r="F51" s="9" t="inlineStr">
        <x:is>
          <x:t xml:space="preserve">Josefa Cuevas Navarro</x:t>
        </x:is>
      </x:c>
      <x:c r="G51" s="16" t="n">
        <x:v>45744</x:v>
      </x:c>
      <x:c r="H51" s="12" t="n">
        <x:v>101.4</x:v>
      </x:c>
      <x:c r="I51" s="9" t="inlineStr">
        <x:is>
          <x:t xml:space="preserve">Sendero Nueva Esperanza 985</x:t>
        </x:is>
      </x:c>
      <x:c r="J51" s="9" t="inlineStr">
        <x:is>
          <x:t xml:space="preserve">Maipú</x:t>
        </x:is>
      </x:c>
      <x:c r="K51" s="9" t="inlineStr">
        <x:is>
          <x:t xml:space="preserve">Santiago</x:t>
        </x:is>
      </x:c>
      <x:c r="L51" s="9" t="inlineStr">
        <x:is>
          <x:t xml:space="preserve">Metropolitana de Santiago</x:t>
        </x:is>
      </x:c>
      <x:c r="M51" s="11" t="n">
        <x:v>-33.762907</x:v>
      </x:c>
      <x:c r="N51" s="11" t="n">
        <x:v>-70.861824</x:v>
      </x:c>
      <x:c r="O51" s="10" t="inlineStr">
        <x:is>
          <x:t xml:space="preserve">-33.762907, -70.861824</x:t>
        </x:is>
      </x:c>
      <x:c r="P51" s="9" t="inlineStr">
        <x:is>
          <x:t xml:space="preserve">Segunda vivienda</x:t>
        </x:is>
      </x:c>
      <x:c r="Q51" s="9" t="inlineStr">
        <x:is>
          <x:t xml:space="preserve">Postventa cerrada</x:t>
        </x:is>
      </x:c>
      <x:c r="R51" s="9" t="inlineStr">
        <x:is>
          <x:t xml:space="preserve">SIP</x:t>
        </x:is>
      </x:c>
      <x:c r="S51" s="9" t="inlineStr">
        <x:is>
          <x:t xml:space="preserve">TES-0050</x:t>
        </x:is>
      </x:c>
    </x:row>
    <x:row r="52" ht="18" customHeight="1">
      <x:c r="A52" s="9" t="inlineStr">
        <x:is>
          <x:t xml:space="preserve">PRO-0051</x:t>
        </x:is>
      </x:c>
      <x:c r="B52" s="9" t="inlineStr">
        <x:is>
          <x:t xml:space="preserve">EMP-017</x:t>
        </x:is>
      </x:c>
      <x:c r="C52" s="9" t="inlineStr">
        <x:is>
          <x:t xml:space="preserve">MOD-0084</x:t>
        </x:is>
      </x:c>
      <x:c r="D52" s="9" t="inlineStr">
        <x:is>
          <x:t xml:space="preserve">Casa Villarrica 12</x:t>
        </x:is>
      </x:c>
      <x:c r="E52" s="9" t="inlineStr">
        <x:is>
          <x:t xml:space="preserve">Sí</x:t>
        </x:is>
      </x:c>
      <x:c r="F52" s="9" t="inlineStr">
        <x:is>
          <x:t xml:space="preserve">Matías Henríquez Bustos</x:t>
        </x:is>
      </x:c>
      <x:c r="G52" s="16" t="n">
        <x:v>44979</x:v>
      </x:c>
      <x:c r="H52" s="12" t="n">
        <x:v>137</x:v>
      </x:c>
      <x:c r="I52" s="9" t="inlineStr">
        <x:is>
          <x:t xml:space="preserve">Av. Parque Industrial Sur 1889</x:t>
        </x:is>
      </x:c>
      <x:c r="J52" s="9" t="inlineStr">
        <x:is>
          <x:t xml:space="preserve">Maipú</x:t>
        </x:is>
      </x:c>
      <x:c r="K52" s="9" t="inlineStr">
        <x:is>
          <x:t xml:space="preserve">Santiago</x:t>
        </x:is>
      </x:c>
      <x:c r="L52" s="9" t="inlineStr">
        <x:is>
          <x:t xml:space="preserve">Metropolitana de Santiago</x:t>
        </x:is>
      </x:c>
      <x:c r="M52" s="11" t="n">
        <x:v>-33.126439</x:v>
      </x:c>
      <x:c r="N52" s="11" t="n">
        <x:v>-70.70862099999999</x:v>
      </x:c>
      <x:c r="O52" s="10" t="inlineStr">
        <x:is>
          <x:t xml:space="preserve">-33.126439, -70.708621</x:t>
        </x:is>
      </x:c>
      <x:c r="P52" s="9" t="inlineStr">
        <x:is>
          <x:t xml:space="preserve">Segunda vivienda</x:t>
        </x:is>
      </x:c>
      <x:c r="Q52" s="9" t="inlineStr">
        <x:is>
          <x:t xml:space="preserve">Entregado</x:t>
        </x:is>
      </x:c>
      <x:c r="R52" s="9" t="inlineStr">
        <x:is>
          <x:t xml:space="preserve">CONTAINER</x:t>
        </x:is>
      </x:c>
      <x:c r="S52" s="9" t="inlineStr">
        <x:is>
          <x:t xml:space="preserve">TES-0051</x:t>
        </x:is>
      </x:c>
    </x:row>
    <x:row r="53" ht="18" customHeight="1">
      <x:c r="A53" s="9" t="inlineStr">
        <x:is>
          <x:t xml:space="preserve">PRO-0052</x:t>
        </x:is>
      </x:c>
      <x:c r="B53" s="9" t="inlineStr">
        <x:is>
          <x:t xml:space="preserve">EMP-018</x:t>
        </x:is>
      </x:c>
      <x:c r="C53" s="9" t="inlineStr">
        <x:is>
          <x:t xml:space="preserve">MOD-0086</x:t>
        </x:is>
      </x:c>
      <x:c r="D53" s="9" t="inlineStr">
        <x:is>
          <x:t xml:space="preserve">Altos de Lonquimay 18</x:t>
        </x:is>
      </x:c>
      <x:c r="E53" s="9" t="inlineStr">
        <x:is>
          <x:t xml:space="preserve">Sí</x:t>
        </x:is>
      </x:c>
      <x:c r="F53" s="9" t="inlineStr">
        <x:is>
          <x:t xml:space="preserve">Agustín Cuevas Mella</x:t>
        </x:is>
      </x:c>
      <x:c r="G53" s="16" t="n">
        <x:v>44998</x:v>
      </x:c>
      <x:c r="H53" s="12" t="n">
        <x:v>60.6</x:v>
      </x:c>
      <x:c r="I53" s="9" t="inlineStr">
        <x:is>
          <x:t xml:space="preserve">Ruta Puerto Norte 701</x:t>
        </x:is>
      </x:c>
      <x:c r="J53" s="9" t="inlineStr">
        <x:is>
          <x:t xml:space="preserve">Puente Alto</x:t>
        </x:is>
      </x:c>
      <x:c r="K53" s="9" t="inlineStr">
        <x:is>
          <x:t xml:space="preserve">Santiago</x:t>
        </x:is>
      </x:c>
      <x:c r="L53" s="9" t="inlineStr">
        <x:is>
          <x:t xml:space="preserve">Metropolitana de Santiago</x:t>
        </x:is>
      </x:c>
      <x:c r="M53" s="11" t="n">
        <x:v>-33.513051</x:v>
      </x:c>
      <x:c r="N53" s="11" t="n">
        <x:v>-70.70525600000001</x:v>
      </x:c>
      <x:c r="O53" s="10" t="inlineStr">
        <x:is>
          <x:t xml:space="preserve">-33.513051, -70.705256</x:t>
        </x:is>
      </x:c>
      <x:c r="P53" s="9" t="inlineStr">
        <x:is>
          <x:t xml:space="preserve">Habitacional</x:t>
        </x:is>
      </x:c>
      <x:c r="Q53" s="9" t="inlineStr">
        <x:is>
          <x:t xml:space="preserve">Entregado</x:t>
        </x:is>
      </x:c>
      <x:c r="R53" s="9" t="inlineStr">
        <x:is>
          <x:t xml:space="preserve">MODULAR_TIMBER</x:t>
        </x:is>
      </x:c>
      <x:c r="S53" s="9" t="inlineStr">
        <x:is>
          <x:t xml:space="preserve">TES-0052</x:t>
        </x:is>
      </x:c>
    </x:row>
    <x:row r="54" ht="18" customHeight="1">
      <x:c r="A54" s="9" t="inlineStr">
        <x:is>
          <x:t xml:space="preserve">PRO-0053</x:t>
        </x:is>
      </x:c>
      <x:c r="B54" s="9" t="inlineStr">
        <x:is>
          <x:t xml:space="preserve">EMP-018</x:t>
        </x:is>
      </x:c>
      <x:c r="C54" s="9" t="inlineStr">
        <x:is>
          <x:t xml:space="preserve">MOD-0086</x:t>
        </x:is>
      </x:c>
      <x:c r="D54" s="9" t="inlineStr">
        <x:is>
          <x:t xml:space="preserve">Mirador Licanray 20</x:t>
        </x:is>
      </x:c>
      <x:c r="E54" s="9" t="inlineStr">
        <x:is>
          <x:t xml:space="preserve">Sí</x:t>
        </x:is>
      </x:c>
      <x:c r="F54" s="9" t="inlineStr">
        <x:is>
          <x:t xml:space="preserve">Constanza Contreras Vargas</x:t>
        </x:is>
      </x:c>
      <x:c r="G54" s="16" t="n">
        <x:v>45110</x:v>
      </x:c>
      <x:c r="H54" s="12" t="n">
        <x:v>59.7</x:v>
      </x:c>
      <x:c r="I54" s="9" t="inlineStr">
        <x:is>
          <x:t xml:space="preserve">Av. Los Carpinteros 1278</x:t>
        </x:is>
      </x:c>
      <x:c r="J54" s="9" t="inlineStr">
        <x:is>
          <x:t xml:space="preserve">Puente Alto</x:t>
        </x:is>
      </x:c>
      <x:c r="K54" s="9" t="inlineStr">
        <x:is>
          <x:t xml:space="preserve">Santiago</x:t>
        </x:is>
      </x:c>
      <x:c r="L54" s="9" t="inlineStr">
        <x:is>
          <x:t xml:space="preserve">Metropolitana de Santiago</x:t>
        </x:is>
      </x:c>
      <x:c r="M54" s="11" t="n">
        <x:v>-33.47808</x:v>
      </x:c>
      <x:c r="N54" s="11" t="n">
        <x:v>-70.698187</x:v>
      </x:c>
      <x:c r="O54" s="10" t="inlineStr">
        <x:is>
          <x:t xml:space="preserve">-33.47808, -70.698187</x:t>
        </x:is>
      </x:c>
      <x:c r="P54" s="9" t="inlineStr">
        <x:is>
          <x:t xml:space="preserve">Habitacional + home office</x:t>
        </x:is>
      </x:c>
      <x:c r="Q54" s="9" t="inlineStr">
        <x:is>
          <x:t xml:space="preserve">Entregado</x:t>
        </x:is>
      </x:c>
      <x:c r="R54" s="9" t="inlineStr">
        <x:is>
          <x:t xml:space="preserve">MODULAR_TIMBER</x:t>
        </x:is>
      </x:c>
      <x:c r="S54" s="9" t="inlineStr">
        <x:is>
          <x:t xml:space="preserve">TES-0053</x:t>
        </x:is>
      </x:c>
    </x:row>
    <x:row r="55" ht="18" customHeight="1">
      <x:c r="A55" s="9" t="inlineStr">
        <x:is>
          <x:t xml:space="preserve">PRO-0054</x:t>
        </x:is>
      </x:c>
      <x:c r="B55" s="9" t="inlineStr">
        <x:is>
          <x:t xml:space="preserve">EMP-018</x:t>
        </x:is>
      </x:c>
      <x:c r="C55" s="9" t="inlineStr">
        <x:is>
          <x:t xml:space="preserve">MOD-0087</x:t>
        </x:is>
      </x:c>
      <x:c r="D55" s="9" t="inlineStr">
        <x:is>
          <x:t xml:space="preserve">Vista Aysén 21</x:t>
        </x:is>
      </x:c>
      <x:c r="E55" s="9" t="inlineStr">
        <x:is>
          <x:t xml:space="preserve">Sí</x:t>
        </x:is>
      </x:c>
      <x:c r="F55" s="9" t="inlineStr">
        <x:is>
          <x:t xml:space="preserve">Cristóbal Campos Bahamondes</x:t>
        </x:is>
      </x:c>
      <x:c r="G55" s="16" t="n">
        <x:v>45523</x:v>
      </x:c>
      <x:c r="H55" s="12" t="n">
        <x:v>98.3</x:v>
      </x:c>
      <x:c r="I55" s="9" t="inlineStr">
        <x:is>
          <x:t xml:space="preserve">Pasaje Los Rieles 613</x:t>
        </x:is>
      </x:c>
      <x:c r="J55" s="9" t="inlineStr">
        <x:is>
          <x:t xml:space="preserve">Puente Alto</x:t>
        </x:is>
      </x:c>
      <x:c r="K55" s="9" t="inlineStr">
        <x:is>
          <x:t xml:space="preserve">Santiago</x:t>
        </x:is>
      </x:c>
      <x:c r="L55" s="9" t="inlineStr">
        <x:is>
          <x:t xml:space="preserve">Metropolitana de Santiago</x:t>
        </x:is>
      </x:c>
      <x:c r="M55" s="11" t="n">
        <x:v>-33.308739</x:v>
      </x:c>
      <x:c r="N55" s="11" t="n">
        <x:v>-70.24731300000001</x:v>
      </x:c>
      <x:c r="O55" s="10" t="inlineStr">
        <x:is>
          <x:t xml:space="preserve">-33.308739, -70.247313</x:t>
        </x:is>
      </x:c>
      <x:c r="P55" s="9" t="inlineStr">
        <x:is>
          <x:t xml:space="preserve">Segunda vivienda</x:t>
        </x:is>
      </x:c>
      <x:c r="Q55" s="9" t="inlineStr">
        <x:is>
          <x:t xml:space="preserve">Entregado</x:t>
        </x:is>
      </x:c>
      <x:c r="R55" s="9" t="inlineStr">
        <x:is>
          <x:t xml:space="preserve">MODULAR_TIMBER</x:t>
        </x:is>
      </x:c>
      <x:c r="S55" s="9" t="inlineStr">
        <x:is>
          <x:t xml:space="preserve">TES-0054</x:t>
        </x:is>
      </x:c>
    </x:row>
    <x:row r="56" ht="18" customHeight="1">
      <x:c r="A56" s="9" t="inlineStr">
        <x:is>
          <x:t xml:space="preserve">PRO-0055</x:t>
        </x:is>
      </x:c>
      <x:c r="B56" s="9" t="inlineStr">
        <x:is>
          <x:t xml:space="preserve">EMP-019</x:t>
        </x:is>
      </x:c>
      <x:c r="C56" s="9" t="inlineStr">
        <x:is>
          <x:t xml:space="preserve">MOD-0093</x:t>
        </x:is>
      </x:c>
      <x:c r="D56" s="9" t="inlineStr">
        <x:is>
          <x:t xml:space="preserve">Loteo Valdivia 15</x:t>
        </x:is>
      </x:c>
      <x:c r="E56" s="9" t="inlineStr">
        <x:is>
          <x:t xml:space="preserve">Sí</x:t>
        </x:is>
      </x:c>
      <x:c r="F56" s="9" t="inlineStr">
        <x:is>
          <x:t xml:space="preserve">Agustín Araya Pino</x:t>
        </x:is>
      </x:c>
      <x:c r="G56" s="16" t="n">
        <x:v>44348</x:v>
      </x:c>
      <x:c r="H56" s="12" t="n">
        <x:v>94.7</x:v>
      </x:c>
      <x:c r="I56" s="9" t="inlineStr">
        <x:is>
          <x:t xml:space="preserve">Av. Los Rieles 1674</x:t>
        </x:is>
      </x:c>
      <x:c r="J56" s="9" t="inlineStr">
        <x:is>
          <x:t xml:space="preserve">Ñuñoa</x:t>
        </x:is>
      </x:c>
      <x:c r="K56" s="9" t="inlineStr">
        <x:is>
          <x:t xml:space="preserve">Santiago</x:t>
        </x:is>
      </x:c>
      <x:c r="L56" s="9" t="inlineStr">
        <x:is>
          <x:t xml:space="preserve">Metropolitana de Santiago</x:t>
        </x:is>
      </x:c>
      <x:c r="M56" s="11" t="n">
        <x:v>-33.790245</x:v>
      </x:c>
      <x:c r="N56" s="11" t="n">
        <x:v>-70.75057099999999</x:v>
      </x:c>
      <x:c r="O56" s="10" t="inlineStr">
        <x:is>
          <x:t xml:space="preserve">-33.790245, -70.750571</x:t>
        </x:is>
      </x:c>
      <x:c r="P56" s="9" t="inlineStr">
        <x:is>
          <x:t xml:space="preserve">Habitacional</x:t>
        </x:is>
      </x:c>
      <x:c r="Q56" s="9" t="inlineStr">
        <x:is>
          <x:t xml:space="preserve">Postventa cerrada</x:t>
        </x:is>
      </x:c>
      <x:c r="R56" s="9" t="inlineStr">
        <x:is>
          <x:t xml:space="preserve">HYBRID_MODULAR</x:t>
        </x:is>
      </x:c>
      <x:c r="S56" s="9" t="inlineStr">
        <x:is>
          <x:t xml:space="preserve">TES-0055</x:t>
        </x:is>
      </x:c>
    </x:row>
    <x:row r="57" ht="18" customHeight="1">
      <x:c r="A57" s="9" t="inlineStr">
        <x:is>
          <x:t xml:space="preserve">PRO-0056</x:t>
        </x:is>
      </x:c>
      <x:c r="B57" s="9" t="inlineStr">
        <x:is>
          <x:t xml:space="preserve">EMP-019</x:t>
        </x:is>
      </x:c>
      <x:c r="C57" s="9" t="inlineStr">
        <x:is>
          <x:t xml:space="preserve">MOD-0092</x:t>
        </x:is>
      </x:c>
      <x:c r="D57" s="9" t="inlineStr">
        <x:is>
          <x:t xml:space="preserve">Loteo Maipo 2</x:t>
        </x:is>
      </x:c>
      <x:c r="E57" s="9" t="inlineStr">
        <x:is>
          <x:t xml:space="preserve">Sí</x:t>
        </x:is>
      </x:c>
      <x:c r="F57" s="9" t="inlineStr">
        <x:is>
          <x:t xml:space="preserve">Paula Reyes Contreras</x:t>
        </x:is>
      </x:c>
      <x:c r="G57" s="16" t="n">
        <x:v>44491</x:v>
      </x:c>
      <x:c r="H57" s="12" t="n">
        <x:v>73.5</x:v>
      </x:c>
      <x:c r="I57" s="9" t="inlineStr">
        <x:is>
          <x:t xml:space="preserve">Camino Río Claro 1475</x:t>
        </x:is>
      </x:c>
      <x:c r="J57" s="9" t="inlineStr">
        <x:is>
          <x:t xml:space="preserve">Ñuñoa</x:t>
        </x:is>
      </x:c>
      <x:c r="K57" s="9" t="inlineStr">
        <x:is>
          <x:t xml:space="preserve">Santiago</x:t>
        </x:is>
      </x:c>
      <x:c r="L57" s="9" t="inlineStr">
        <x:is>
          <x:t xml:space="preserve">Metropolitana de Santiago</x:t>
        </x:is>
      </x:c>
      <x:c r="M57" s="11" t="n">
        <x:v>-33.532038</x:v>
      </x:c>
      <x:c r="N57" s="11" t="n">
        <x:v>-70.59280800000001</x:v>
      </x:c>
      <x:c r="O57" s="10" t="inlineStr">
        <x:is>
          <x:t xml:space="preserve">-33.532038, -70.592808</x:t>
        </x:is>
      </x:c>
      <x:c r="P57" s="9" t="inlineStr">
        <x:is>
          <x:t xml:space="preserve">Habitacional</x:t>
        </x:is>
      </x:c>
      <x:c r="Q57" s="9" t="inlineStr">
        <x:is>
          <x:t xml:space="preserve">Entregado</x:t>
        </x:is>
      </x:c>
      <x:c r="R57" s="9" t="inlineStr">
        <x:is>
          <x:t xml:space="preserve">CONTAINER</x:t>
        </x:is>
      </x:c>
      <x:c r="S57" s="9" t="inlineStr">
        <x:is>
          <x:t xml:space="preserve">TES-0056</x:t>
        </x:is>
      </x:c>
    </x:row>
    <x:row r="58" ht="18" customHeight="1">
      <x:c r="A58" s="9" t="inlineStr">
        <x:is>
          <x:t xml:space="preserve">PRO-0057</x:t>
        </x:is>
      </x:c>
      <x:c r="B58" s="9" t="inlineStr">
        <x:is>
          <x:t xml:space="preserve">EMP-019</x:t>
        </x:is>
      </x:c>
      <x:c r="C58" s="9" t="inlineStr">
        <x:is>
          <x:t xml:space="preserve">MOD-0094</x:t>
        </x:is>
      </x:c>
      <x:c r="D58" s="9" t="inlineStr">
        <x:is>
          <x:t xml:space="preserve">Refugio Cochamó 19</x:t>
        </x:is>
      </x:c>
      <x:c r="E58" s="9" t="inlineStr">
        <x:is>
          <x:t xml:space="preserve">Sí</x:t>
        </x:is>
      </x:c>
      <x:c r="F58" s="9" t="inlineStr">
        <x:is>
          <x:t xml:space="preserve">Catalina Reyes Sepúlveda</x:t>
        </x:is>
      </x:c>
      <x:c r="G58" s="16" t="n">
        <x:v>45534</x:v>
      </x:c>
      <x:c r="H58" s="12" t="n">
        <x:v>173.6</x:v>
      </x:c>
      <x:c r="I58" s="9" t="inlineStr">
        <x:is>
          <x:t xml:space="preserve">Calle Las Lengas 1443</x:t>
        </x:is>
      </x:c>
      <x:c r="J58" s="9" t="inlineStr">
        <x:is>
          <x:t xml:space="preserve">Ñuñoa</x:t>
        </x:is>
      </x:c>
      <x:c r="K58" s="9" t="inlineStr">
        <x:is>
          <x:t xml:space="preserve">Santiago</x:t>
        </x:is>
      </x:c>
      <x:c r="L58" s="9" t="inlineStr">
        <x:is>
          <x:t xml:space="preserve">Metropolitana de Santiago</x:t>
        </x:is>
      </x:c>
      <x:c r="M58" s="11" t="n">
        <x:v>-33.18089</x:v>
      </x:c>
      <x:c r="N58" s="11" t="n">
        <x:v>-70.55736</x:v>
      </x:c>
      <x:c r="O58" s="10" t="inlineStr">
        <x:is>
          <x:t xml:space="preserve">-33.18089, -70.55736</x:t>
        </x:is>
      </x:c>
      <x:c r="P58" s="9" t="inlineStr">
        <x:is>
          <x:t xml:space="preserve">Habitacional</x:t>
        </x:is>
      </x:c>
      <x:c r="Q58" s="9" t="inlineStr">
        <x:is>
          <x:t xml:space="preserve">Postventa cerrada</x:t>
        </x:is>
      </x:c>
      <x:c r="R58" s="9" t="inlineStr">
        <x:is>
          <x:t xml:space="preserve">SIP</x:t>
        </x:is>
      </x:c>
      <x:c r="S58" s="9" t="inlineStr">
        <x:is>
          <x:t xml:space="preserve">TES-0057</x:t>
        </x:is>
      </x:c>
    </x:row>
    <x:row r="59" ht="18" customHeight="1">
      <x:c r="A59" s="9" t="inlineStr">
        <x:is>
          <x:t xml:space="preserve">PRO-0058</x:t>
        </x:is>
      </x:c>
      <x:c r="B59" s="9" t="inlineStr">
        <x:is>
          <x:t xml:space="preserve">EMP-020</x:t>
        </x:is>
      </x:c>
      <x:c r="C59" s="9" t="inlineStr">
        <x:is>
          <x:t xml:space="preserve">MOD-0096</x:t>
        </x:is>
      </x:c>
      <x:c r="D59" s="9" t="inlineStr">
        <x:is>
          <x:t xml:space="preserve">Loteo Cochamó 2</x:t>
        </x:is>
      </x:c>
      <x:c r="E59" s="9" t="inlineStr">
        <x:is>
          <x:t xml:space="preserve">Sí</x:t>
        </x:is>
      </x:c>
      <x:c r="F59" s="9" t="inlineStr">
        <x:is>
          <x:t xml:space="preserve">Rodrigo Paredes Pérez</x:t>
        </x:is>
      </x:c>
      <x:c r="G59" s="16" t="n">
        <x:v>44984</x:v>
      </x:c>
      <x:c r="H59" s="12" t="n">
        <x:v>51.6</x:v>
      </x:c>
      <x:c r="I59" s="9" t="inlineStr">
        <x:is>
          <x:t xml:space="preserve">Los Los Volcanes 1406</x:t>
        </x:is>
      </x:c>
      <x:c r="J59" s="9" t="inlineStr">
        <x:is>
          <x:t xml:space="preserve">Rancagua</x:t>
        </x:is>
      </x:c>
      <x:c r="K59" s="9" t="inlineStr">
        <x:is>
          <x:t xml:space="preserve">Rancagua</x:t>
        </x:is>
      </x:c>
      <x:c r="L59" s="9" t="inlineStr">
        <x:is>
          <x:t xml:space="preserve">O'Higgins</x:t>
        </x:is>
      </x:c>
      <x:c r="M59" s="11" t="n">
        <x:v>-33.98746</x:v>
      </x:c>
      <x:c r="N59" s="11" t="n">
        <x:v>-70.72354799999999</x:v>
      </x:c>
      <x:c r="O59" s="10" t="inlineStr">
        <x:is>
          <x:t xml:space="preserve">-33.98746, -70.723548</x:t>
        </x:is>
      </x:c>
      <x:c r="P59" s="9" t="inlineStr">
        <x:is>
          <x:t xml:space="preserve">Habitacional</x:t>
        </x:is>
      </x:c>
      <x:c r="Q59" s="9" t="inlineStr">
        <x:is>
          <x:t xml:space="preserve">Entregado</x:t>
        </x:is>
      </x:c>
      <x:c r="R59" s="9" t="inlineStr">
        <x:is>
          <x:t xml:space="preserve">STEEL_FRAME</x:t>
        </x:is>
      </x:c>
      <x:c r="S59" s="9" t="inlineStr">
        <x:is>
          <x:t xml:space="preserve">TES-0058</x:t>
        </x:is>
      </x:c>
    </x:row>
    <x:row r="60" ht="18" customHeight="1">
      <x:c r="A60" s="9" t="inlineStr">
        <x:is>
          <x:t xml:space="preserve">PRO-0059</x:t>
        </x:is>
      </x:c>
      <x:c r="B60" s="9" t="inlineStr">
        <x:is>
          <x:t xml:space="preserve">EMP-020</x:t>
        </x:is>
      </x:c>
      <x:c r="C60" s="9" t="inlineStr">
        <x:is>
          <x:t xml:space="preserve">MOD-0099</x:t>
        </x:is>
      </x:c>
      <x:c r="D60" s="9" t="inlineStr">
        <x:is>
          <x:t xml:space="preserve">Bosques de Maipo 21</x:t>
        </x:is>
      </x:c>
      <x:c r="E60" s="9" t="inlineStr">
        <x:is>
          <x:t xml:space="preserve">Sí</x:t>
        </x:is>
      </x:c>
      <x:c r="F60" s="9" t="inlineStr">
        <x:is>
          <x:t xml:space="preserve">Esteban Pino Henríquez</x:t>
        </x:is>
      </x:c>
      <x:c r="G60" s="16" t="n">
        <x:v>45523</x:v>
      </x:c>
      <x:c r="H60" s="12" t="n">
        <x:v>117.2</x:v>
      </x:c>
      <x:c r="I60" s="9" t="inlineStr">
        <x:is>
          <x:t xml:space="preserve">Ruta Nueva Esperanza 1435</x:t>
        </x:is>
      </x:c>
      <x:c r="J60" s="9" t="inlineStr">
        <x:is>
          <x:t xml:space="preserve">Rancagua</x:t>
        </x:is>
      </x:c>
      <x:c r="K60" s="9" t="inlineStr">
        <x:is>
          <x:t xml:space="preserve">Rancagua</x:t>
        </x:is>
      </x:c>
      <x:c r="L60" s="9" t="inlineStr">
        <x:is>
          <x:t xml:space="preserve">O'Higgins</x:t>
        </x:is>
      </x:c>
      <x:c r="M60" s="11" t="n">
        <x:v>-34.171911</x:v>
      </x:c>
      <x:c r="N60" s="11" t="n">
        <x:v>-70.383735</x:v>
      </x:c>
      <x:c r="O60" s="10" t="inlineStr">
        <x:is>
          <x:t xml:space="preserve">-34.171911, -70.383735</x:t>
        </x:is>
      </x:c>
      <x:c r="P60" s="9" t="inlineStr">
        <x:is>
          <x:t xml:space="preserve">Turismo</x:t>
        </x:is>
      </x:c>
      <x:c r="Q60" s="9" t="inlineStr">
        <x:is>
          <x:t xml:space="preserve">Postventa cerrada</x:t>
        </x:is>
      </x:c>
      <x:c r="R60" s="9" t="inlineStr">
        <x:is>
          <x:t xml:space="preserve">MODULAR_TIMBER</x:t>
        </x:is>
      </x:c>
      <x:c r="S60" s="9" t="inlineStr">
        <x:is>
          <x:t xml:space="preserve">TES-0059</x:t>
        </x:is>
      </x:c>
    </x:row>
    <x:row r="61">
      <x:c r="A61" s="9" t="inlineStr">
        <x:is>
          <x:t xml:space="preserve">PRO-0060</x:t>
        </x:is>
      </x:c>
      <x:c r="B61" s="9" t="inlineStr">
        <x:is>
          <x:t xml:space="preserve">EMP-020</x:t>
        </x:is>
      </x:c>
      <x:c r="C61" s="9" t="inlineStr">
        <x:is>
          <x:t xml:space="preserve">MOD-0097</x:t>
        </x:is>
      </x:c>
      <x:c r="D61" s="9" t="inlineStr">
        <x:is>
          <x:t xml:space="preserve">Loteo Calafquén 18</x:t>
        </x:is>
      </x:c>
      <x:c r="E61" s="9" t="inlineStr">
        <x:is>
          <x:t xml:space="preserve">Sí</x:t>
        </x:is>
      </x:c>
      <x:c r="F61" s="9" t="inlineStr">
        <x:is>
          <x:t xml:space="preserve">Martín Rojas Molina</x:t>
        </x:is>
      </x:c>
      <x:c r="G61" s="16" t="n">
        <x:v>44248</x:v>
      </x:c>
      <x:c r="H61" s="12" t="n">
        <x:v>116.9</x:v>
      </x:c>
      <x:c r="I61" s="9" t="inlineStr">
        <x:is>
          <x:t xml:space="preserve">Camino Las Dunas 1327</x:t>
        </x:is>
      </x:c>
      <x:c r="J61" s="9" t="inlineStr">
        <x:is>
          <x:t xml:space="preserve">Rancagua</x:t>
        </x:is>
      </x:c>
      <x:c r="K61" s="9" t="inlineStr">
        <x:is>
          <x:t xml:space="preserve">Rancagua</x:t>
        </x:is>
      </x:c>
      <x:c r="L61" s="9" t="inlineStr">
        <x:is>
          <x:t xml:space="preserve">O'Higgins</x:t>
        </x:is>
      </x:c>
      <x:c r="M61" s="11" t="n">
        <x:v>-34.144982</x:v>
      </x:c>
      <x:c r="N61" s="11" t="n">
        <x:v>-70.718531</x:v>
      </x:c>
      <x:c r="O61" s="10" t="inlineStr">
        <x:is>
          <x:t xml:space="preserve">-34.144982, -70.718531</x:t>
        </x:is>
      </x:c>
      <x:c r="P61" s="9" t="inlineStr">
        <x:is>
          <x:t xml:space="preserve">Segunda vivienda</x:t>
        </x:is>
      </x:c>
      <x:c r="Q61" s="9" t="inlineStr">
        <x:is>
          <x:t xml:space="preserve">Entregado</x:t>
        </x:is>
      </x:c>
      <x:c r="R61" s="9" t="inlineStr">
        <x:is>
          <x:t xml:space="preserve">STEEL_FRAME</x:t>
        </x:is>
      </x:c>
      <x:c r="S61" s="9" t="inlineStr">
        <x:is>
          <x:t xml:space="preserve">TES-0060</x:t>
        </x:is>
      </x:c>
    </x:row>
    <x:row r="62">
      <x:c r="A62" s="9" t="inlineStr">
        <x:is>
          <x:t xml:space="preserve">PRO-0061</x:t>
        </x:is>
      </x:c>
      <x:c r="B62" s="9" t="inlineStr">
        <x:is>
          <x:t xml:space="preserve">EMP-021</x:t>
        </x:is>
      </x:c>
      <x:c r="C62" s="9" t="inlineStr">
        <x:is>
          <x:t xml:space="preserve">MOD-0103</x:t>
        </x:is>
      </x:c>
      <x:c r="D62" s="9" t="inlineStr">
        <x:is>
          <x:t xml:space="preserve">Condominio Aysén 2</x:t>
        </x:is>
      </x:c>
      <x:c r="E62" s="9" t="inlineStr">
        <x:is>
          <x:t xml:space="preserve">Sí</x:t>
        </x:is>
      </x:c>
      <x:c r="F62" s="9" t="inlineStr">
        <x:is>
          <x:t xml:space="preserve">Ricardo Rojas Leiva</x:t>
        </x:is>
      </x:c>
      <x:c r="G62" s="16" t="n">
        <x:v>44439</x:v>
      </x:c>
      <x:c r="H62" s="12" t="n">
        <x:v>101.7</x:v>
      </x:c>
      <x:c r="I62" s="9" t="inlineStr">
        <x:is>
          <x:t xml:space="preserve">Pasaje Los Arrayanes 1196</x:t>
        </x:is>
      </x:c>
      <x:c r="J62" s="9" t="inlineStr">
        <x:is>
          <x:t xml:space="preserve">Machalí</x:t>
        </x:is>
      </x:c>
      <x:c r="K62" s="9" t="inlineStr">
        <x:is>
          <x:t xml:space="preserve">Rancagua</x:t>
        </x:is>
      </x:c>
      <x:c r="L62" s="9" t="inlineStr">
        <x:is>
          <x:t xml:space="preserve">O'Higgins</x:t>
        </x:is>
      </x:c>
      <x:c r="M62" s="11" t="n">
        <x:v>-34.045602</x:v>
      </x:c>
      <x:c r="N62" s="11" t="n">
        <x:v>-70.663927</x:v>
      </x:c>
      <x:c r="O62" s="10" t="inlineStr">
        <x:is>
          <x:t xml:space="preserve">-34.045602, -70.663927</x:t>
        </x:is>
      </x:c>
      <x:c r="P62" s="9" t="inlineStr">
        <x:is>
          <x:t xml:space="preserve">Habitacional + home office</x:t>
        </x:is>
      </x:c>
      <x:c r="Q62" s="9" t="inlineStr">
        <x:is>
          <x:t xml:space="preserve">Postventa cerrada</x:t>
        </x:is>
      </x:c>
      <x:c r="R62" s="9" t="inlineStr">
        <x:is>
          <x:t xml:space="preserve">MODULAR_TIMBER</x:t>
        </x:is>
      </x:c>
      <x:c r="S62" s="9" t="inlineStr">
        <x:is>
          <x:t xml:space="preserve">TES-0061</x:t>
        </x:is>
      </x:c>
    </x:row>
    <x:row r="63">
      <x:c r="A63" s="9" t="inlineStr">
        <x:is>
          <x:t xml:space="preserve">PRO-0062</x:t>
        </x:is>
      </x:c>
      <x:c r="B63" s="9" t="inlineStr">
        <x:is>
          <x:t xml:space="preserve">EMP-021</x:t>
        </x:is>
      </x:c>
      <x:c r="C63" s="9" t="inlineStr">
        <x:is>
          <x:t xml:space="preserve">MOD-0101</x:t>
        </x:is>
      </x:c>
      <x:c r="D63" s="9" t="inlineStr">
        <x:is>
          <x:t xml:space="preserve">Altos de Cautín 3</x:t>
        </x:is>
      </x:c>
      <x:c r="E63" s="9" t="inlineStr">
        <x:is>
          <x:t xml:space="preserve">Sí</x:t>
        </x:is>
      </x:c>
      <x:c r="F63" s="9" t="inlineStr">
        <x:is>
          <x:t xml:space="preserve">Renata Bravo Cuevas</x:t>
        </x:is>
      </x:c>
      <x:c r="G63" s="16" t="n">
        <x:v>44464</x:v>
      </x:c>
      <x:c r="H63" s="12" t="n">
        <x:v>45.7</x:v>
      </x:c>
      <x:c r="I63" s="9" t="inlineStr">
        <x:is>
          <x:t xml:space="preserve">Camino Río Claro 1261</x:t>
        </x:is>
      </x:c>
      <x:c r="J63" s="9" t="inlineStr">
        <x:is>
          <x:t xml:space="preserve">Machalí</x:t>
        </x:is>
      </x:c>
      <x:c r="K63" s="9" t="inlineStr">
        <x:is>
          <x:t xml:space="preserve">Rancagua</x:t>
        </x:is>
      </x:c>
      <x:c r="L63" s="9" t="inlineStr">
        <x:is>
          <x:t xml:space="preserve">O'Higgins</x:t>
        </x:is>
      </x:c>
      <x:c r="M63" s="11" t="n">
        <x:v>-34.060434</x:v>
      </x:c>
      <x:c r="N63" s="11" t="n">
        <x:v>-70.39684699999999</x:v>
      </x:c>
      <x:c r="O63" s="10" t="inlineStr">
        <x:is>
          <x:t xml:space="preserve">-34.060434, -70.396847</x:t>
        </x:is>
      </x:c>
      <x:c r="P63" s="9" t="inlineStr">
        <x:is>
          <x:t xml:space="preserve">Habitacional</x:t>
        </x:is>
      </x:c>
      <x:c r="Q63" s="9" t="inlineStr">
        <x:is>
          <x:t xml:space="preserve">Entregado</x:t>
        </x:is>
      </x:c>
      <x:c r="R63" s="9" t="inlineStr">
        <x:is>
          <x:t xml:space="preserve">SIP</x:t>
        </x:is>
      </x:c>
      <x:c r="S63" s="9" t="inlineStr">
        <x:is>
          <x:t xml:space="preserve">TES-0062</x:t>
        </x:is>
      </x:c>
    </x:row>
    <x:row r="64">
      <x:c r="A64" s="9" t="inlineStr">
        <x:is>
          <x:t xml:space="preserve">PRO-0063</x:t>
        </x:is>
      </x:c>
      <x:c r="B64" s="9" t="inlineStr">
        <x:is>
          <x:t xml:space="preserve">EMP-021</x:t>
        </x:is>
      </x:c>
      <x:c r="C64" s="9" t="inlineStr">
        <x:is>
          <x:t xml:space="preserve">MOD-0105</x:t>
        </x:is>
      </x:c>
      <x:c r="D64" s="9" t="inlineStr">
        <x:is>
          <x:t xml:space="preserve">Terraza Pelluhue 5</x:t>
        </x:is>
      </x:c>
      <x:c r="E64" s="9" t="inlineStr">
        <x:is>
          <x:t xml:space="preserve">Sí</x:t>
        </x:is>
      </x:c>
      <x:c r="F64" s="9" t="inlineStr">
        <x:is>
          <x:t xml:space="preserve">Lucas Díaz Molina</x:t>
        </x:is>
      </x:c>
      <x:c r="G64" s="16" t="n">
        <x:v>45069</x:v>
      </x:c>
      <x:c r="H64" s="12" t="n">
        <x:v>190.8</x:v>
      </x:c>
      <x:c r="I64" s="9" t="inlineStr">
        <x:is>
          <x:t xml:space="preserve">Parque Los Volcanes 257</x:t>
        </x:is>
      </x:c>
      <x:c r="J64" s="9" t="inlineStr">
        <x:is>
          <x:t xml:space="preserve">Machalí</x:t>
        </x:is>
      </x:c>
      <x:c r="K64" s="9" t="inlineStr">
        <x:is>
          <x:t xml:space="preserve">Rancagua</x:t>
        </x:is>
      </x:c>
      <x:c r="L64" s="9" t="inlineStr">
        <x:is>
          <x:t xml:space="preserve">O'Higgins</x:t>
        </x:is>
      </x:c>
      <x:c r="M64" s="11" t="n">
        <x:v>-33.91817</x:v>
      </x:c>
      <x:c r="N64" s="11" t="n">
        <x:v>-70.513561</x:v>
      </x:c>
      <x:c r="O64" s="10" t="inlineStr">
        <x:is>
          <x:t xml:space="preserve">-33.91817, -70.513561</x:t>
        </x:is>
      </x:c>
      <x:c r="P64" s="9" t="inlineStr">
        <x:is>
          <x:t xml:space="preserve">Turismo</x:t>
        </x:is>
      </x:c>
      <x:c r="Q64" s="9" t="inlineStr">
        <x:is>
          <x:t xml:space="preserve">Entregado</x:t>
        </x:is>
      </x:c>
      <x:c r="R64" s="9" t="inlineStr">
        <x:is>
          <x:t xml:space="preserve">HYBRID_MODULAR</x:t>
        </x:is>
      </x:c>
      <x:c r="S64" s="9" t="inlineStr">
        <x:is>
          <x:t xml:space="preserve">TES-0063</x:t>
        </x:is>
      </x:c>
    </x:row>
    <x:row r="65">
      <x:c r="A65" s="9" t="inlineStr">
        <x:is>
          <x:t xml:space="preserve">PRO-0064</x:t>
        </x:is>
      </x:c>
      <x:c r="B65" s="9" t="inlineStr">
        <x:is>
          <x:t xml:space="preserve">EMP-022</x:t>
        </x:is>
      </x:c>
      <x:c r="C65" s="9" t="inlineStr">
        <x:is>
          <x:t xml:space="preserve">MOD-0108</x:t>
        </x:is>
      </x:c>
      <x:c r="D65" s="9" t="inlineStr">
        <x:is>
          <x:t xml:space="preserve">Terraza Licanray 5</x:t>
        </x:is>
      </x:c>
      <x:c r="E65" s="9" t="inlineStr">
        <x:is>
          <x:t xml:space="preserve">Sí</x:t>
        </x:is>
      </x:c>
      <x:c r="F65" s="9" t="inlineStr">
        <x:is>
          <x:t xml:space="preserve">Vicente Silva Fuentes</x:t>
        </x:is>
      </x:c>
      <x:c r="G65" s="16" t="n">
        <x:v>44486</x:v>
      </x:c>
      <x:c r="H65" s="12" t="n">
        <x:v>109</x:v>
      </x:c>
      <x:c r="I65" s="9" t="inlineStr">
        <x:is>
          <x:t xml:space="preserve">Pasaje Río Claro 508</x:t>
        </x:is>
      </x:c>
      <x:c r="J65" s="9" t="inlineStr">
        <x:is>
          <x:t xml:space="preserve">Curicó</x:t>
        </x:is>
      </x:c>
      <x:c r="K65" s="9" t="inlineStr">
        <x:is>
          <x:t xml:space="preserve">Curicó</x:t>
        </x:is>
      </x:c>
      <x:c r="L65" s="9" t="inlineStr">
        <x:is>
          <x:t xml:space="preserve">Maule</x:t>
        </x:is>
      </x:c>
      <x:c r="M65" s="11" t="n">
        <x:v>-35.246644</x:v>
      </x:c>
      <x:c r="N65" s="11" t="n">
        <x:v>-71.376822</x:v>
      </x:c>
      <x:c r="O65" s="10" t="inlineStr">
        <x:is>
          <x:t xml:space="preserve">-35.246644, -71.376822</x:t>
        </x:is>
      </x:c>
      <x:c r="P65" s="9" t="inlineStr">
        <x:is>
          <x:t xml:space="preserve">Habitacional</x:t>
        </x:is>
      </x:c>
      <x:c r="Q65" s="9" t="inlineStr">
        <x:is>
          <x:t xml:space="preserve">Postventa cerrada</x:t>
        </x:is>
      </x:c>
      <x:c r="R65" s="9" t="inlineStr">
        <x:is>
          <x:t xml:space="preserve">SIP</x:t>
        </x:is>
      </x:c>
      <x:c r="S65" s="9" t="inlineStr">
        <x:is>
          <x:t xml:space="preserve">TES-0064</x:t>
        </x:is>
      </x:c>
    </x:row>
    <x:row r="66">
      <x:c r="A66" s="9" t="inlineStr">
        <x:is>
          <x:t xml:space="preserve">PRO-0065</x:t>
        </x:is>
      </x:c>
      <x:c r="B66" s="9" t="inlineStr">
        <x:is>
          <x:t xml:space="preserve">EMP-022</x:t>
        </x:is>
      </x:c>
      <x:c r="C66" s="9" t="inlineStr">
        <x:is>
          <x:t xml:space="preserve">MOD-0106</x:t>
        </x:is>
      </x:c>
      <x:c r="D66" s="9" t="inlineStr">
        <x:is>
          <x:t xml:space="preserve">Condominio Puyehue 21</x:t>
        </x:is>
      </x:c>
      <x:c r="E66" s="9" t="inlineStr">
        <x:is>
          <x:t xml:space="preserve">Sí</x:t>
        </x:is>
      </x:c>
      <x:c r="F66" s="9" t="inlineStr">
        <x:is>
          <x:t xml:space="preserve">Matías Pérez Castillo</x:t>
        </x:is>
      </x:c>
      <x:c r="G66" s="16" t="n">
        <x:v>44379</x:v>
      </x:c>
      <x:c r="H66" s="12" t="n">
        <x:v>56.3</x:v>
      </x:c>
      <x:c r="I66" s="9" t="inlineStr">
        <x:is>
          <x:t xml:space="preserve">Sendero Piedra Azul 269</x:t>
        </x:is>
      </x:c>
      <x:c r="J66" s="9" t="inlineStr">
        <x:is>
          <x:t xml:space="preserve">Curicó</x:t>
        </x:is>
      </x:c>
      <x:c r="K66" s="9" t="inlineStr">
        <x:is>
          <x:t xml:space="preserve">Curicó</x:t>
        </x:is>
      </x:c>
      <x:c r="L66" s="9" t="inlineStr">
        <x:is>
          <x:t xml:space="preserve">Maule</x:t>
        </x:is>
      </x:c>
      <x:c r="M66" s="11" t="n">
        <x:v>-34.948669</x:v>
      </x:c>
      <x:c r="N66" s="11" t="n">
        <x:v>-71.43715899999999</x:v>
      </x:c>
      <x:c r="O66" s="10" t="inlineStr">
        <x:is>
          <x:t xml:space="preserve">-34.948669, -71.437159</x:t>
        </x:is>
      </x:c>
      <x:c r="P66" s="9" t="inlineStr">
        <x:is>
          <x:t xml:space="preserve">Turismo</x:t>
        </x:is>
      </x:c>
      <x:c r="Q66" s="9" t="inlineStr">
        <x:is>
          <x:t xml:space="preserve">Postventa cerrada</x:t>
        </x:is>
      </x:c>
      <x:c r="R66" s="9" t="inlineStr">
        <x:is>
          <x:t xml:space="preserve">SIP</x:t>
        </x:is>
      </x:c>
      <x:c r="S66" s="9" t="inlineStr">
        <x:is>
          <x:t xml:space="preserve">TES-0065</x:t>
        </x:is>
      </x:c>
    </x:row>
    <x:row r="67">
      <x:c r="A67" s="9" t="inlineStr">
        <x:is>
          <x:t xml:space="preserve">PRO-0066</x:t>
        </x:is>
      </x:c>
      <x:c r="B67" s="9" t="inlineStr">
        <x:is>
          <x:t xml:space="preserve">EMP-022</x:t>
        </x:is>
      </x:c>
      <x:c r="C67" s="9" t="inlineStr">
        <x:is>
          <x:t xml:space="preserve">MOD-0110</x:t>
        </x:is>
      </x:c>
      <x:c r="D67" s="9" t="inlineStr">
        <x:is>
          <x:t xml:space="preserve">Parcela Pelluhue 8</x:t>
        </x:is>
      </x:c>
      <x:c r="E67" s="9" t="inlineStr">
        <x:is>
          <x:t xml:space="preserve">Sí</x:t>
        </x:is>
      </x:c>
      <x:c r="F67" s="9" t="inlineStr">
        <x:is>
          <x:t xml:space="preserve">Manuel Rojas Sandoval</x:t>
        </x:is>
      </x:c>
      <x:c r="G67" s="16" t="n">
        <x:v>44565</x:v>
      </x:c>
      <x:c r="H67" s="12" t="n">
        <x:v>219.1</x:v>
      </x:c>
      <x:c r="I67" s="9" t="inlineStr">
        <x:is>
          <x:t xml:space="preserve">Calle El Estero 867</x:t>
        </x:is>
      </x:c>
      <x:c r="J67" s="9" t="inlineStr">
        <x:is>
          <x:t xml:space="preserve">Curicó</x:t>
        </x:is>
      </x:c>
      <x:c r="K67" s="9" t="inlineStr">
        <x:is>
          <x:t xml:space="preserve">Curicó</x:t>
        </x:is>
      </x:c>
      <x:c r="L67" s="9" t="inlineStr">
        <x:is>
          <x:t xml:space="preserve">Maule</x:t>
        </x:is>
      </x:c>
      <x:c r="M67" s="11" t="n">
        <x:v>-34.935845</x:v>
      </x:c>
      <x:c r="N67" s="11" t="n">
        <x:v>-71.574156</x:v>
      </x:c>
      <x:c r="O67" s="10" t="inlineStr">
        <x:is>
          <x:t xml:space="preserve">-34.935845, -71.574156</x:t>
        </x:is>
      </x:c>
      <x:c r="P67" s="9" t="inlineStr">
        <x:is>
          <x:t xml:space="preserve">Habitacional + home office</x:t>
        </x:is>
      </x:c>
      <x:c r="Q67" s="9" t="inlineStr">
        <x:is>
          <x:t xml:space="preserve">Entregado</x:t>
        </x:is>
      </x:c>
      <x:c r="R67" s="9" t="inlineStr">
        <x:is>
          <x:t xml:space="preserve">HYBRID_MODULAR</x:t>
        </x:is>
      </x:c>
      <x:c r="S67" s="9" t="inlineStr">
        <x:is>
          <x:t xml:space="preserve">TES-0066</x:t>
        </x:is>
      </x:c>
    </x:row>
    <x:row r="68">
      <x:c r="A68" s="9" t="inlineStr">
        <x:is>
          <x:t xml:space="preserve">PRO-0067</x:t>
        </x:is>
      </x:c>
      <x:c r="B68" s="9" t="inlineStr">
        <x:is>
          <x:t xml:space="preserve">EMP-023</x:t>
        </x:is>
      </x:c>
      <x:c r="C68" s="9" t="inlineStr">
        <x:is>
          <x:t xml:space="preserve">MOD-0113</x:t>
        </x:is>
      </x:c>
      <x:c r="D68" s="9" t="inlineStr">
        <x:is>
          <x:t xml:space="preserve">Altos de Calafquén 16</x:t>
        </x:is>
      </x:c>
      <x:c r="E68" s="9" t="inlineStr">
        <x:is>
          <x:t xml:space="preserve">Sí</x:t>
        </x:is>
      </x:c>
      <x:c r="F68" s="9" t="inlineStr">
        <x:is>
          <x:t xml:space="preserve">Esteban Peña Farías</x:t>
        </x:is>
      </x:c>
      <x:c r="G68" s="16" t="n">
        <x:v>44646</x:v>
      </x:c>
      <x:c r="H68" s="12" t="n">
        <x:v>105.1</x:v>
      </x:c>
      <x:c r="I68" s="9" t="inlineStr">
        <x:is>
          <x:t xml:space="preserve">Av. La Montaña 240</x:t>
        </x:is>
      </x:c>
      <x:c r="J68" s="9" t="inlineStr">
        <x:is>
          <x:t xml:space="preserve">Talca</x:t>
        </x:is>
      </x:c>
      <x:c r="K68" s="9" t="inlineStr">
        <x:is>
          <x:t xml:space="preserve">Talca</x:t>
        </x:is>
      </x:c>
      <x:c r="L68" s="9" t="inlineStr">
        <x:is>
          <x:t xml:space="preserve">Maule</x:t>
        </x:is>
      </x:c>
      <x:c r="M68" s="11" t="n">
        <x:v>-35.364245</x:v>
      </x:c>
      <x:c r="N68" s="11" t="n">
        <x:v>-71.80877599999999</x:v>
      </x:c>
      <x:c r="O68" s="10" t="inlineStr">
        <x:is>
          <x:t xml:space="preserve">-35.364245, -71.808776</x:t>
        </x:is>
      </x:c>
      <x:c r="P68" s="9" t="inlineStr">
        <x:is>
          <x:t xml:space="preserve">Habitacional + home office</x:t>
        </x:is>
      </x:c>
      <x:c r="Q68" s="9" t="inlineStr">
        <x:is>
          <x:t xml:space="preserve">Entregado</x:t>
        </x:is>
      </x:c>
      <x:c r="R68" s="9" t="inlineStr">
        <x:is>
          <x:t xml:space="preserve">SIP</x:t>
        </x:is>
      </x:c>
      <x:c r="S68" s="9" t="inlineStr">
        <x:is>
          <x:t xml:space="preserve">TES-0067</x:t>
        </x:is>
      </x:c>
    </x:row>
    <x:row r="69">
      <x:c r="A69" s="9" t="inlineStr">
        <x:is>
          <x:t xml:space="preserve">PRO-0068</x:t>
        </x:is>
      </x:c>
      <x:c r="B69" s="9" t="inlineStr">
        <x:is>
          <x:t xml:space="preserve">EMP-023</x:t>
        </x:is>
      </x:c>
      <x:c r="C69" s="9" t="inlineStr">
        <x:is>
          <x:t xml:space="preserve">MOD-0113</x:t>
        </x:is>
      </x:c>
      <x:c r="D69" s="9" t="inlineStr">
        <x:is>
          <x:t xml:space="preserve">Parcela Pelluhue 6</x:t>
        </x:is>
      </x:c>
      <x:c r="E69" s="9" t="inlineStr">
        <x:is>
          <x:t xml:space="preserve">Sí</x:t>
        </x:is>
      </x:c>
      <x:c r="F69" s="9" t="inlineStr">
        <x:is>
          <x:t xml:space="preserve">Sebastián Vera Escobar</x:t>
        </x:is>
      </x:c>
      <x:c r="G69" s="16" t="n">
        <x:v>44711</x:v>
      </x:c>
      <x:c r="H69" s="12" t="n">
        <x:v>103.3</x:v>
      </x:c>
      <x:c r="I69" s="9" t="inlineStr">
        <x:is>
          <x:t xml:space="preserve">Av. Parque Industrial Sur 1526</x:t>
        </x:is>
      </x:c>
      <x:c r="J69" s="9" t="inlineStr">
        <x:is>
          <x:t xml:space="preserve">Talca</x:t>
        </x:is>
      </x:c>
      <x:c r="K69" s="9" t="inlineStr">
        <x:is>
          <x:t xml:space="preserve">Talca</x:t>
        </x:is>
      </x:c>
      <x:c r="L69" s="9" t="inlineStr">
        <x:is>
          <x:t xml:space="preserve">Maule</x:t>
        </x:is>
      </x:c>
      <x:c r="M69" s="11" t="n">
        <x:v>-35.239162</x:v>
      </x:c>
      <x:c r="N69" s="11" t="n">
        <x:v>-71.42356599999999</x:v>
      </x:c>
      <x:c r="O69" s="10" t="inlineStr">
        <x:is>
          <x:t xml:space="preserve">-35.239162, -71.423566</x:t>
        </x:is>
      </x:c>
      <x:c r="P69" s="9" t="inlineStr">
        <x:is>
          <x:t xml:space="preserve">Habitacional + home office</x:t>
        </x:is>
      </x:c>
      <x:c r="Q69" s="9" t="inlineStr">
        <x:is>
          <x:t xml:space="preserve">Entregado</x:t>
        </x:is>
      </x:c>
      <x:c r="R69" s="9" t="inlineStr">
        <x:is>
          <x:t xml:space="preserve">SIP</x:t>
        </x:is>
      </x:c>
      <x:c r="S69" s="9" t="inlineStr">
        <x:is>
          <x:t xml:space="preserve">TES-0068</x:t>
        </x:is>
      </x:c>
    </x:row>
    <x:row r="70">
      <x:c r="A70" s="9" t="inlineStr">
        <x:is>
          <x:t xml:space="preserve">PRO-0069</x:t>
        </x:is>
      </x:c>
      <x:c r="B70" s="9" t="inlineStr">
        <x:is>
          <x:t xml:space="preserve">EMP-023</x:t>
        </x:is>
      </x:c>
      <x:c r="C70" s="9" t="inlineStr">
        <x:is>
          <x:t xml:space="preserve">MOD-0111</x:t>
        </x:is>
      </x:c>
      <x:c r="D70" s="9" t="inlineStr">
        <x:is>
          <x:t xml:space="preserve">Mirador Lonquimay 8</x:t>
        </x:is>
      </x:c>
      <x:c r="E70" s="9" t="inlineStr">
        <x:is>
          <x:t xml:space="preserve">Sí</x:t>
        </x:is>
      </x:c>
      <x:c r="F70" s="9" t="inlineStr">
        <x:is>
          <x:t xml:space="preserve">Renata Tapia Bustos</x:t>
        </x:is>
      </x:c>
      <x:c r="G70" s="16" t="n">
        <x:v>45410</x:v>
      </x:c>
      <x:c r="H70" s="12" t="n">
        <x:v>43.1</x:v>
      </x:c>
      <x:c r="I70" s="9" t="inlineStr">
        <x:is>
          <x:t xml:space="preserve">Los Las Araucarias 1605</x:t>
        </x:is>
      </x:c>
      <x:c r="J70" s="9" t="inlineStr">
        <x:is>
          <x:t xml:space="preserve">Talca</x:t>
        </x:is>
      </x:c>
      <x:c r="K70" s="9" t="inlineStr">
        <x:is>
          <x:t xml:space="preserve">Talca</x:t>
        </x:is>
      </x:c>
      <x:c r="L70" s="9" t="inlineStr">
        <x:is>
          <x:t xml:space="preserve">Maule</x:t>
        </x:is>
      </x:c>
      <x:c r="M70" s="11" t="n">
        <x:v>-35.509424</x:v>
      </x:c>
      <x:c r="N70" s="11" t="n">
        <x:v>-71.43149099999999</x:v>
      </x:c>
      <x:c r="O70" s="10" t="inlineStr">
        <x:is>
          <x:t xml:space="preserve">-35.509424, -71.431491</x:t>
        </x:is>
      </x:c>
      <x:c r="P70" s="9" t="inlineStr">
        <x:is>
          <x:t xml:space="preserve">Habitacional</x:t>
        </x:is>
      </x:c>
      <x:c r="Q70" s="9" t="inlineStr">
        <x:is>
          <x:t xml:space="preserve">Entregado</x:t>
        </x:is>
      </x:c>
      <x:c r="R70" s="9" t="inlineStr">
        <x:is>
          <x:t xml:space="preserve">MODULAR_TIMBER</x:t>
        </x:is>
      </x:c>
      <x:c r="S70" s="9" t="inlineStr">
        <x:is>
          <x:t xml:space="preserve">TES-0069</x:t>
        </x:is>
      </x:c>
    </x:row>
    <x:row r="71">
      <x:c r="A71" s="9" t="inlineStr">
        <x:is>
          <x:t xml:space="preserve">PRO-0070</x:t>
        </x:is>
      </x:c>
      <x:c r="B71" s="9" t="inlineStr">
        <x:is>
          <x:t xml:space="preserve">EMP-024</x:t>
        </x:is>
      </x:c>
      <x:c r="C71" s="9" t="inlineStr">
        <x:is>
          <x:t xml:space="preserve">MOD-0117</x:t>
        </x:is>
      </x:c>
      <x:c r="D71" s="9" t="inlineStr">
        <x:is>
          <x:t xml:space="preserve">Refugio Puyehue 15</x:t>
        </x:is>
      </x:c>
      <x:c r="E71" s="9" t="inlineStr">
        <x:is>
          <x:t xml:space="preserve">Sí</x:t>
        </x:is>
      </x:c>
      <x:c r="F71" s="9" t="inlineStr">
        <x:is>
          <x:t xml:space="preserve">Vicente Venegas Mella</x:t>
        </x:is>
      </x:c>
      <x:c r="G71" s="16" t="n">
        <x:v>45189</x:v>
      </x:c>
      <x:c r="H71" s="12" t="n">
        <x:v>107.2</x:v>
      </x:c>
      <x:c r="I71" s="9" t="inlineStr">
        <x:is>
          <x:t xml:space="preserve">Sendero Los Coigües 803</x:t>
        </x:is>
      </x:c>
      <x:c r="J71" s="9" t="inlineStr">
        <x:is>
          <x:t xml:space="preserve">Linares</x:t>
        </x:is>
      </x:c>
      <x:c r="K71" s="9" t="inlineStr">
        <x:is>
          <x:t xml:space="preserve">Linares</x:t>
        </x:is>
      </x:c>
      <x:c r="L71" s="9" t="inlineStr">
        <x:is>
          <x:t xml:space="preserve">Maule</x:t>
        </x:is>
      </x:c>
      <x:c r="M71" s="11" t="n">
        <x:v>-35.933784</x:v>
      </x:c>
      <x:c r="N71" s="11" t="n">
        <x:v>-71.760267</x:v>
      </x:c>
      <x:c r="O71" s="10" t="inlineStr">
        <x:is>
          <x:t xml:space="preserve">-35.933784, -71.760267</x:t>
        </x:is>
      </x:c>
      <x:c r="P71" s="9" t="inlineStr">
        <x:is>
          <x:t xml:space="preserve">Habitacional + home office</x:t>
        </x:is>
      </x:c>
      <x:c r="Q71" s="9" t="inlineStr">
        <x:is>
          <x:t xml:space="preserve">Entregado</x:t>
        </x:is>
      </x:c>
      <x:c r="R71" s="9" t="inlineStr">
        <x:is>
          <x:t xml:space="preserve">CONTAINER</x:t>
        </x:is>
      </x:c>
      <x:c r="S71" s="9" t="inlineStr">
        <x:is>
          <x:t xml:space="preserve">TES-0070</x:t>
        </x:is>
      </x:c>
    </x:row>
    <x:row r="72">
      <x:c r="A72" s="9" t="inlineStr">
        <x:is>
          <x:t xml:space="preserve">PRO-0071</x:t>
        </x:is>
      </x:c>
      <x:c r="B72" s="9" t="inlineStr">
        <x:is>
          <x:t xml:space="preserve">EMP-024</x:t>
        </x:is>
      </x:c>
      <x:c r="C72" s="9" t="inlineStr">
        <x:is>
          <x:t xml:space="preserve">MOD-0117</x:t>
        </x:is>
      </x:c>
      <x:c r="D72" s="9" t="inlineStr">
        <x:is>
          <x:t xml:space="preserve">Refugio Pucón 10</x:t>
        </x:is>
      </x:c>
      <x:c r="E72" s="9" t="inlineStr">
        <x:is>
          <x:t xml:space="preserve">Sí</x:t>
        </x:is>
      </x:c>
      <x:c r="F72" s="9" t="inlineStr">
        <x:is>
          <x:t xml:space="preserve">Benjamín Bravo Núñez</x:t>
        </x:is>
      </x:c>
      <x:c r="G72" s="16" t="n">
        <x:v>44319</x:v>
      </x:c>
      <x:c r="H72" s="12" t="n">
        <x:v>110.5</x:v>
      </x:c>
      <x:c r="I72" s="9" t="inlineStr">
        <x:is>
          <x:t xml:space="preserve">Parque Los Coigües 1567</x:t>
        </x:is>
      </x:c>
      <x:c r="J72" s="9" t="inlineStr">
        <x:is>
          <x:t xml:space="preserve">Linares</x:t>
        </x:is>
      </x:c>
      <x:c r="K72" s="9" t="inlineStr">
        <x:is>
          <x:t xml:space="preserve">Linares</x:t>
        </x:is>
      </x:c>
      <x:c r="L72" s="9" t="inlineStr">
        <x:is>
          <x:t xml:space="preserve">Maule</x:t>
        </x:is>
      </x:c>
      <x:c r="M72" s="11" t="n">
        <x:v>-36.161114</x:v>
      </x:c>
      <x:c r="N72" s="11" t="n">
        <x:v>-71.58570899999999</x:v>
      </x:c>
      <x:c r="O72" s="10" t="inlineStr">
        <x:is>
          <x:t xml:space="preserve">-36.161114, -71.585709</x:t>
        </x:is>
      </x:c>
      <x:c r="P72" s="9" t="inlineStr">
        <x:is>
          <x:t xml:space="preserve">Parcela</x:t>
        </x:is>
      </x:c>
      <x:c r="Q72" s="9" t="inlineStr">
        <x:is>
          <x:t xml:space="preserve">Entregado</x:t>
        </x:is>
      </x:c>
      <x:c r="R72" s="9" t="inlineStr">
        <x:is>
          <x:t xml:space="preserve">CONTAINER</x:t>
        </x:is>
      </x:c>
      <x:c r="S72" s="9" t="inlineStr">
        <x:is>
          <x:t xml:space="preserve">TES-0071</x:t>
        </x:is>
      </x:c>
    </x:row>
    <x:row r="73">
      <x:c r="A73" s="9" t="inlineStr">
        <x:is>
          <x:t xml:space="preserve">PRO-0072</x:t>
        </x:is>
      </x:c>
      <x:c r="B73" s="9" t="inlineStr">
        <x:is>
          <x:t xml:space="preserve">EMP-024</x:t>
        </x:is>
      </x:c>
      <x:c r="C73" s="9" t="inlineStr">
        <x:is>
          <x:t xml:space="preserve">MOD-0120</x:t>
        </x:is>
      </x:c>
      <x:c r="D73" s="9" t="inlineStr">
        <x:is>
          <x:t xml:space="preserve">Parcela Cobquecura 24</x:t>
        </x:is>
      </x:c>
      <x:c r="E73" s="9" t="inlineStr">
        <x:is>
          <x:t xml:space="preserve">Sí</x:t>
        </x:is>
      </x:c>
      <x:c r="F73" s="9" t="inlineStr">
        <x:is>
          <x:t xml:space="preserve">Lucas Soto Mardones</x:t>
        </x:is>
      </x:c>
      <x:c r="G73" s="16" t="n">
        <x:v>45952</x:v>
      </x:c>
      <x:c r="H73" s="12" t="n">
        <x:v>195.4</x:v>
      </x:c>
      <x:c r="I73" s="9" t="inlineStr">
        <x:is>
          <x:t xml:space="preserve">Sendero Río Claro 581</x:t>
        </x:is>
      </x:c>
      <x:c r="J73" s="9" t="inlineStr">
        <x:is>
          <x:t xml:space="preserve">Linares</x:t>
        </x:is>
      </x:c>
      <x:c r="K73" s="9" t="inlineStr">
        <x:is>
          <x:t xml:space="preserve">Linares</x:t>
        </x:is>
      </x:c>
      <x:c r="L73" s="9" t="inlineStr">
        <x:is>
          <x:t xml:space="preserve">Maule</x:t>
        </x:is>
      </x:c>
      <x:c r="M73" s="11" t="n">
        <x:v>-35.635351</x:v>
      </x:c>
      <x:c r="N73" s="11" t="n">
        <x:v>-71.76007300000001</x:v>
      </x:c>
      <x:c r="O73" s="10" t="inlineStr">
        <x:is>
          <x:t xml:space="preserve">-35.635351, -71.760073</x:t>
        </x:is>
      </x:c>
      <x:c r="P73" s="9" t="inlineStr">
        <x:is>
          <x:t xml:space="preserve">Habitacional + home office</x:t>
        </x:is>
      </x:c>
      <x:c r="Q73" s="9" t="inlineStr">
        <x:is>
          <x:t xml:space="preserve">Entregado</x:t>
        </x:is>
      </x:c>
      <x:c r="R73" s="9" t="inlineStr">
        <x:is>
          <x:t xml:space="preserve">STEEL_FRAME</x:t>
        </x:is>
      </x:c>
      <x:c r="S73" s="9" t="inlineStr">
        <x:is>
          <x:t xml:space="preserve">TES-0072</x:t>
        </x:is>
      </x:c>
    </x:row>
    <x:row r="74">
      <x:c r="A74" s="9" t="inlineStr">
        <x:is>
          <x:t xml:space="preserve">PRO-0073</x:t>
        </x:is>
      </x:c>
      <x:c r="B74" s="9" t="inlineStr">
        <x:is>
          <x:t xml:space="preserve">EMP-025</x:t>
        </x:is>
      </x:c>
      <x:c r="C74" s="9" t="inlineStr">
        <x:is>
          <x:t xml:space="preserve">MOD-0122</x:t>
        </x:is>
      </x:c>
      <x:c r="D74" s="9" t="inlineStr">
        <x:is>
          <x:t xml:space="preserve">Bosques de Calafquén 26</x:t>
        </x:is>
      </x:c>
      <x:c r="E74" s="9" t="inlineStr">
        <x:is>
          <x:t xml:space="preserve">Sí</x:t>
        </x:is>
      </x:c>
      <x:c r="F74" s="9" t="inlineStr">
        <x:is>
          <x:t xml:space="preserve">Macarena Sepúlveda Núñez</x:t>
        </x:is>
      </x:c>
      <x:c r="G74" s="16" t="n">
        <x:v>44207</x:v>
      </x:c>
      <x:c r="H74" s="12" t="n">
        <x:v>72.3</x:v>
      </x:c>
      <x:c r="I74" s="9" t="inlineStr">
        <x:is>
          <x:t xml:space="preserve">Av. Las Bandurrias 1097</x:t>
        </x:is>
      </x:c>
      <x:c r="J74" s="9" t="inlineStr">
        <x:is>
          <x:t xml:space="preserve">Chillán</x:t>
        </x:is>
      </x:c>
      <x:c r="K74" s="9" t="inlineStr">
        <x:is>
          <x:t xml:space="preserve">Chillán</x:t>
        </x:is>
      </x:c>
      <x:c r="L74" s="9" t="inlineStr">
        <x:is>
          <x:t xml:space="preserve">Ñuble</x:t>
        </x:is>
      </x:c>
      <x:c r="M74" s="11" t="n">
        <x:v>-36.858848</x:v>
      </x:c>
      <x:c r="N74" s="11" t="n">
        <x:v>-71.820092</x:v>
      </x:c>
      <x:c r="O74" s="10" t="inlineStr">
        <x:is>
          <x:t xml:space="preserve">-36.858848, -71.820092</x:t>
        </x:is>
      </x:c>
      <x:c r="P74" s="9" t="inlineStr">
        <x:is>
          <x:t xml:space="preserve">Habitacional</x:t>
        </x:is>
      </x:c>
      <x:c r="Q74" s="9" t="inlineStr">
        <x:is>
          <x:t xml:space="preserve">Postventa cerrada</x:t>
        </x:is>
      </x:c>
      <x:c r="R74" s="9" t="inlineStr">
        <x:is>
          <x:t xml:space="preserve">STEEL_FRAME</x:t>
        </x:is>
      </x:c>
      <x:c r="S74" s="9" t="inlineStr">
        <x:is>
          <x:t xml:space="preserve">TES-0073</x:t>
        </x:is>
      </x:c>
    </x:row>
    <x:row r="75">
      <x:c r="A75" s="9" t="inlineStr">
        <x:is>
          <x:t xml:space="preserve">PRO-0074</x:t>
        </x:is>
      </x:c>
      <x:c r="B75" s="9" t="inlineStr">
        <x:is>
          <x:t xml:space="preserve">EMP-025</x:t>
        </x:is>
      </x:c>
      <x:c r="C75" s="9" t="inlineStr">
        <x:is>
          <x:t xml:space="preserve">MOD-0125</x:t>
        </x:is>
      </x:c>
      <x:c r="D75" s="9" t="inlineStr">
        <x:is>
          <x:t xml:space="preserve">Parcela Calafquén 22</x:t>
        </x:is>
      </x:c>
      <x:c r="E75" s="9" t="inlineStr">
        <x:is>
          <x:t xml:space="preserve">Sí</x:t>
        </x:is>
      </x:c>
      <x:c r="F75" s="9" t="inlineStr">
        <x:is>
          <x:t xml:space="preserve">Esteban Pérez Bravo</x:t>
        </x:is>
      </x:c>
      <x:c r="G75" s="16" t="n">
        <x:v>45695</x:v>
      </x:c>
      <x:c r="H75" s="12" t="n">
        <x:v>176.5</x:v>
      </x:c>
      <x:c r="I75" s="9" t="inlineStr">
        <x:is>
          <x:t xml:space="preserve">Ruta El Maitén 195</x:t>
        </x:is>
      </x:c>
      <x:c r="J75" s="9" t="inlineStr">
        <x:is>
          <x:t xml:space="preserve">Chillán</x:t>
        </x:is>
      </x:c>
      <x:c r="K75" s="9" t="inlineStr">
        <x:is>
          <x:t xml:space="preserve">Chillán</x:t>
        </x:is>
      </x:c>
      <x:c r="L75" s="9" t="inlineStr">
        <x:is>
          <x:t xml:space="preserve">Ñuble</x:t>
        </x:is>
      </x:c>
      <x:c r="M75" s="11" t="n">
        <x:v>-36.7372</x:v>
      </x:c>
      <x:c r="N75" s="11" t="n">
        <x:v>-72.263099</x:v>
      </x:c>
      <x:c r="O75" s="10" t="inlineStr">
        <x:is>
          <x:t xml:space="preserve">-36.7372, -72.263099</x:t>
        </x:is>
      </x:c>
      <x:c r="P75" s="9" t="inlineStr">
        <x:is>
          <x:t xml:space="preserve">Turismo</x:t>
        </x:is>
      </x:c>
      <x:c r="Q75" s="9" t="inlineStr">
        <x:is>
          <x:t xml:space="preserve">Entregado</x:t>
        </x:is>
      </x:c>
      <x:c r="R75" s="9" t="inlineStr">
        <x:is>
          <x:t xml:space="preserve">HYBRID_MODULAR</x:t>
        </x:is>
      </x:c>
      <x:c r="S75" s="9" t="inlineStr">
        <x:is>
          <x:t xml:space="preserve">TES-0074</x:t>
        </x:is>
      </x:c>
    </x:row>
    <x:row r="76">
      <x:c r="A76" s="9" t="inlineStr">
        <x:is>
          <x:t xml:space="preserve">PRO-0075</x:t>
        </x:is>
      </x:c>
      <x:c r="B76" s="9" t="inlineStr">
        <x:is>
          <x:t xml:space="preserve">EMP-025</x:t>
        </x:is>
      </x:c>
      <x:c r="C76" s="9" t="inlineStr">
        <x:is>
          <x:t xml:space="preserve">MOD-0125</x:t>
        </x:is>
      </x:c>
      <x:c r="D76" s="9" t="inlineStr">
        <x:is>
          <x:t xml:space="preserve">Parcela Villarrica 3</x:t>
        </x:is>
      </x:c>
      <x:c r="E76" s="9" t="inlineStr">
        <x:is>
          <x:t xml:space="preserve">Sí</x:t>
        </x:is>
      </x:c>
      <x:c r="F76" s="9" t="inlineStr">
        <x:is>
          <x:t xml:space="preserve">Catalina Jara Jara</x:t>
        </x:is>
      </x:c>
      <x:c r="G76" s="16" t="n">
        <x:v>45777</x:v>
      </x:c>
      <x:c r="H76" s="12" t="n">
        <x:v>170.4</x:v>
      </x:c>
      <x:c r="I76" s="9" t="inlineStr">
        <x:is>
          <x:t xml:space="preserve">Los El Maitén 960</x:t>
        </x:is>
      </x:c>
      <x:c r="J76" s="9" t="inlineStr">
        <x:is>
          <x:t xml:space="preserve">Chillán</x:t>
        </x:is>
      </x:c>
      <x:c r="K76" s="9" t="inlineStr">
        <x:is>
          <x:t xml:space="preserve">Chillán</x:t>
        </x:is>
      </x:c>
      <x:c r="L76" s="9" t="inlineStr">
        <x:is>
          <x:t xml:space="preserve">Ñuble</x:t>
        </x:is>
      </x:c>
      <x:c r="M76" s="11" t="n">
        <x:v>-36.397611</x:v>
      </x:c>
      <x:c r="N76" s="11" t="n">
        <x:v>-72.38452100000001</x:v>
      </x:c>
      <x:c r="O76" s="10" t="inlineStr">
        <x:is>
          <x:t xml:space="preserve">-36.397611, -72.384521</x:t>
        </x:is>
      </x:c>
      <x:c r="P76" s="9" t="inlineStr">
        <x:is>
          <x:t xml:space="preserve">Segunda vivienda</x:t>
        </x:is>
      </x:c>
      <x:c r="Q76" s="9" t="inlineStr">
        <x:is>
          <x:t xml:space="preserve">Entregado</x:t>
        </x:is>
      </x:c>
      <x:c r="R76" s="9" t="inlineStr">
        <x:is>
          <x:t xml:space="preserve">HYBRID_MODULAR</x:t>
        </x:is>
      </x:c>
      <x:c r="S76" s="9" t="inlineStr">
        <x:is>
          <x:t xml:space="preserve">TES-0075</x:t>
        </x:is>
      </x:c>
    </x:row>
    <x:row r="77">
      <x:c r="A77" s="9" t="inlineStr">
        <x:is>
          <x:t xml:space="preserve">PRO-0076</x:t>
        </x:is>
      </x:c>
      <x:c r="B77" s="9" t="inlineStr">
        <x:is>
          <x:t xml:space="preserve">EMP-026</x:t>
        </x:is>
      </x:c>
      <x:c r="C77" s="9" t="inlineStr">
        <x:is>
          <x:t xml:space="preserve">MOD-0129</x:t>
        </x:is>
      </x:c>
      <x:c r="D77" s="9" t="inlineStr">
        <x:is>
          <x:t xml:space="preserve">Refugio Licanray 17</x:t>
        </x:is>
      </x:c>
      <x:c r="E77" s="9" t="inlineStr">
        <x:is>
          <x:t xml:space="preserve">Sí</x:t>
        </x:is>
      </x:c>
      <x:c r="F77" s="9" t="inlineStr">
        <x:is>
          <x:t xml:space="preserve">Esteban Fuentes Bravo</x:t>
        </x:is>
      </x:c>
      <x:c r="G77" s="16" t="n">
        <x:v>45451</x:v>
      </x:c>
      <x:c r="H77" s="12" t="n">
        <x:v>147</x:v>
      </x:c>
      <x:c r="I77" s="9" t="inlineStr">
        <x:is>
          <x:t xml:space="preserve">Camino Radal 1813</x:t>
        </x:is>
      </x:c>
      <x:c r="J77" s="9" t="inlineStr">
        <x:is>
          <x:t xml:space="preserve">San Carlos</x:t>
        </x:is>
      </x:c>
      <x:c r="K77" s="9" t="inlineStr">
        <x:is>
          <x:t xml:space="preserve">San Carlos</x:t>
        </x:is>
      </x:c>
      <x:c r="L77" s="9" t="inlineStr">
        <x:is>
          <x:t xml:space="preserve">Ñuble</x:t>
        </x:is>
      </x:c>
      <x:c r="M77" s="11" t="n">
        <x:v>-36.226654</x:v>
      </x:c>
      <x:c r="N77" s="11" t="n">
        <x:v>-71.71633199999999</x:v>
      </x:c>
      <x:c r="O77" s="10" t="inlineStr">
        <x:is>
          <x:t xml:space="preserve">-36.226654, -71.716332</x:t>
        </x:is>
      </x:c>
      <x:c r="P77" s="9" t="inlineStr">
        <x:is>
          <x:t xml:space="preserve">Turismo</x:t>
        </x:is>
      </x:c>
      <x:c r="Q77" s="9" t="inlineStr">
        <x:is>
          <x:t xml:space="preserve">Entregado</x:t>
        </x:is>
      </x:c>
      <x:c r="R77" s="9" t="inlineStr">
        <x:is>
          <x:t xml:space="preserve">STEEL_FRAME</x:t>
        </x:is>
      </x:c>
      <x:c r="S77" s="9" t="inlineStr">
        <x:is>
          <x:t xml:space="preserve">TES-0076</x:t>
        </x:is>
      </x:c>
    </x:row>
    <x:row r="78">
      <x:c r="A78" s="9" t="inlineStr">
        <x:is>
          <x:t xml:space="preserve">PRO-0077</x:t>
        </x:is>
      </x:c>
      <x:c r="B78" s="9" t="inlineStr">
        <x:is>
          <x:t xml:space="preserve">EMP-026</x:t>
        </x:is>
      </x:c>
      <x:c r="C78" s="9" t="inlineStr">
        <x:is>
          <x:t xml:space="preserve">MOD-0129</x:t>
        </x:is>
      </x:c>
      <x:c r="D78" s="9" t="inlineStr">
        <x:is>
          <x:t xml:space="preserve">Condominio Pelluhue 4</x:t>
        </x:is>
      </x:c>
      <x:c r="E78" s="9" t="inlineStr">
        <x:is>
          <x:t xml:space="preserve">Sí</x:t>
        </x:is>
      </x:c>
      <x:c r="F78" s="9" t="inlineStr">
        <x:is>
          <x:t xml:space="preserve">Daniela Rojas Morales</x:t>
        </x:is>
      </x:c>
      <x:c r="G78" s="16" t="n">
        <x:v>44947</x:v>
      </x:c>
      <x:c r="H78" s="12" t="n">
        <x:v>140.1</x:v>
      </x:c>
      <x:c r="I78" s="9" t="inlineStr">
        <x:is>
          <x:t xml:space="preserve">Ruta Las Lengas 695</x:t>
        </x:is>
      </x:c>
      <x:c r="J78" s="9" t="inlineStr">
        <x:is>
          <x:t xml:space="preserve">San Carlos</x:t>
        </x:is>
      </x:c>
      <x:c r="K78" s="9" t="inlineStr">
        <x:is>
          <x:t xml:space="preserve">San Carlos</x:t>
        </x:is>
      </x:c>
      <x:c r="L78" s="9" t="inlineStr">
        <x:is>
          <x:t xml:space="preserve">Ñuble</x:t>
        </x:is>
      </x:c>
      <x:c r="M78" s="11" t="n">
        <x:v>-36.391636</x:v>
      </x:c>
      <x:c r="N78" s="11" t="n">
        <x:v>-72.220812</x:v>
      </x:c>
      <x:c r="O78" s="10" t="inlineStr">
        <x:is>
          <x:t xml:space="preserve">-36.391636, -72.220812</x:t>
        </x:is>
      </x:c>
      <x:c r="P78" s="9" t="inlineStr">
        <x:is>
          <x:t xml:space="preserve">Segunda vivienda</x:t>
        </x:is>
      </x:c>
      <x:c r="Q78" s="9" t="inlineStr">
        <x:is>
          <x:t xml:space="preserve">Entregado</x:t>
        </x:is>
      </x:c>
      <x:c r="R78" s="9" t="inlineStr">
        <x:is>
          <x:t xml:space="preserve">STEEL_FRAME</x:t>
        </x:is>
      </x:c>
      <x:c r="S78" s="9" t="inlineStr">
        <x:is>
          <x:t xml:space="preserve">TES-0077</x:t>
        </x:is>
      </x:c>
    </x:row>
    <x:row r="79">
      <x:c r="A79" s="9" t="inlineStr">
        <x:is>
          <x:t xml:space="preserve">PRO-0078</x:t>
        </x:is>
      </x:c>
      <x:c r="B79" s="9" t="inlineStr">
        <x:is>
          <x:t xml:space="preserve">EMP-026</x:t>
        </x:is>
      </x:c>
      <x:c r="C79" s="9" t="inlineStr">
        <x:is>
          <x:t xml:space="preserve">MOD-0128</x:t>
        </x:is>
      </x:c>
      <x:c r="D79" s="9" t="inlineStr">
        <x:is>
          <x:t xml:space="preserve">Casa Pelluhue 10</x:t>
        </x:is>
      </x:c>
      <x:c r="E79" s="9" t="inlineStr">
        <x:is>
          <x:t xml:space="preserve">Sí</x:t>
        </x:is>
      </x:c>
      <x:c r="F79" s="9" t="inlineStr">
        <x:is>
          <x:t xml:space="preserve">Álvaro Vargas Escobar</x:t>
        </x:is>
      </x:c>
      <x:c r="G79" s="16" t="n">
        <x:v>44764</x:v>
      </x:c>
      <x:c r="H79" s="12" t="n">
        <x:v>68.90000000000001</x:v>
      </x:c>
      <x:c r="I79" s="9" t="inlineStr">
        <x:is>
          <x:t xml:space="preserve">Camino Ruta Modular 1463</x:t>
        </x:is>
      </x:c>
      <x:c r="J79" s="9" t="inlineStr">
        <x:is>
          <x:t xml:space="preserve">San Carlos</x:t>
        </x:is>
      </x:c>
      <x:c r="K79" s="9" t="inlineStr">
        <x:is>
          <x:t xml:space="preserve">San Carlos</x:t>
        </x:is>
      </x:c>
      <x:c r="L79" s="9" t="inlineStr">
        <x:is>
          <x:t xml:space="preserve">Ñuble</x:t>
        </x:is>
      </x:c>
      <x:c r="M79" s="11" t="n">
        <x:v>-36.521819</x:v>
      </x:c>
      <x:c r="N79" s="11" t="n">
        <x:v>-71.95102900000001</x:v>
      </x:c>
      <x:c r="O79" s="10" t="inlineStr">
        <x:is>
          <x:t xml:space="preserve">-36.521819, -71.951029</x:t>
        </x:is>
      </x:c>
      <x:c r="P79" s="9" t="inlineStr">
        <x:is>
          <x:t xml:space="preserve">Segunda vivienda</x:t>
        </x:is>
      </x:c>
      <x:c r="Q79" s="9" t="inlineStr">
        <x:is>
          <x:t xml:space="preserve">Entregado</x:t>
        </x:is>
      </x:c>
      <x:c r="R79" s="9" t="inlineStr">
        <x:is>
          <x:t xml:space="preserve">MODULAR_TIMBER</x:t>
        </x:is>
      </x:c>
      <x:c r="S79" s="9" t="inlineStr">
        <x:is>
          <x:t xml:space="preserve">TES-0078</x:t>
        </x:is>
      </x:c>
    </x:row>
    <x:row r="80">
      <x:c r="A80" s="9" t="inlineStr">
        <x:is>
          <x:t xml:space="preserve">PRO-0079</x:t>
        </x:is>
      </x:c>
      <x:c r="B80" s="9" t="inlineStr">
        <x:is>
          <x:t xml:space="preserve">EMP-027</x:t>
        </x:is>
      </x:c>
      <x:c r="C80" s="9" t="inlineStr">
        <x:is>
          <x:t xml:space="preserve">MOD-0131</x:t>
        </x:is>
      </x:c>
      <x:c r="D80" s="9" t="inlineStr">
        <x:is>
          <x:t xml:space="preserve">Vista Puyehue 28</x:t>
        </x:is>
      </x:c>
      <x:c r="E80" s="9" t="inlineStr">
        <x:is>
          <x:t xml:space="preserve">Sí</x:t>
        </x:is>
      </x:c>
      <x:c r="F80" s="9" t="inlineStr">
        <x:is>
          <x:t xml:space="preserve">Amanda Leiva Castillo</x:t>
        </x:is>
      </x:c>
      <x:c r="G80" s="16" t="n">
        <x:v>44787</x:v>
      </x:c>
      <x:c r="H80" s="12" t="n">
        <x:v>51.6</x:v>
      </x:c>
      <x:c r="I80" s="9" t="inlineStr">
        <x:is>
          <x:t xml:space="preserve">Camino Piedra Azul 313</x:t>
        </x:is>
      </x:c>
      <x:c r="J80" s="9" t="inlineStr">
        <x:is>
          <x:t xml:space="preserve">Los Ángeles</x:t>
        </x:is>
      </x:c>
      <x:c r="K80" s="9" t="inlineStr">
        <x:is>
          <x:t xml:space="preserve">Los Ángeles</x:t>
        </x:is>
      </x:c>
      <x:c r="L80" s="9" t="inlineStr">
        <x:is>
          <x:t xml:space="preserve">Biobío</x:t>
        </x:is>
      </x:c>
      <x:c r="M80" s="11" t="n">
        <x:v>-37.832945</x:v>
      </x:c>
      <x:c r="N80" s="11" t="n">
        <x:v>-72.644231</x:v>
      </x:c>
      <x:c r="O80" s="10" t="inlineStr">
        <x:is>
          <x:t xml:space="preserve">-37.832945, -72.644231</x:t>
        </x:is>
      </x:c>
      <x:c r="P80" s="9" t="inlineStr">
        <x:is>
          <x:t xml:space="preserve">Habitacional + home office</x:t>
        </x:is>
      </x:c>
      <x:c r="Q80" s="9" t="inlineStr">
        <x:is>
          <x:t xml:space="preserve">Entregado</x:t>
        </x:is>
      </x:c>
      <x:c r="R80" s="9" t="inlineStr">
        <x:is>
          <x:t xml:space="preserve">SIP</x:t>
        </x:is>
      </x:c>
      <x:c r="S80" s="9" t="inlineStr">
        <x:is>
          <x:t xml:space="preserve">TES-0079</x:t>
        </x:is>
      </x:c>
    </x:row>
    <x:row r="81">
      <x:c r="A81" s="9" t="inlineStr">
        <x:is>
          <x:t xml:space="preserve">PRO-0080</x:t>
        </x:is>
      </x:c>
      <x:c r="B81" s="9" t="inlineStr">
        <x:is>
          <x:t xml:space="preserve">EMP-027</x:t>
        </x:is>
      </x:c>
      <x:c r="C81" s="9" t="inlineStr">
        <x:is>
          <x:t xml:space="preserve">MOD-0135</x:t>
        </x:is>
      </x:c>
      <x:c r="D81" s="9" t="inlineStr">
        <x:is>
          <x:t xml:space="preserve">Condominio Baker 21</x:t>
        </x:is>
      </x:c>
      <x:c r="E81" s="9" t="inlineStr">
        <x:is>
          <x:t xml:space="preserve">Sí</x:t>
        </x:is>
      </x:c>
      <x:c r="F81" s="9" t="inlineStr">
        <x:is>
          <x:t xml:space="preserve">Martín Venegas Alarcón</x:t>
        </x:is>
      </x:c>
      <x:c r="G81" s="16" t="n">
        <x:v>45057</x:v>
      </x:c>
      <x:c r="H81" s="12" t="n">
        <x:v>211.6</x:v>
      </x:c>
      <x:c r="I81" s="9" t="inlineStr">
        <x:is>
          <x:t xml:space="preserve">Camino Los Carpinteros 1795</x:t>
        </x:is>
      </x:c>
      <x:c r="J81" s="9" t="inlineStr">
        <x:is>
          <x:t xml:space="preserve">Los Ángeles</x:t>
        </x:is>
      </x:c>
      <x:c r="K81" s="9" t="inlineStr">
        <x:is>
          <x:t xml:space="preserve">Los Ángeles</x:t>
        </x:is>
      </x:c>
      <x:c r="L81" s="9" t="inlineStr">
        <x:is>
          <x:t xml:space="preserve">Biobío</x:t>
        </x:is>
      </x:c>
      <x:c r="M81" s="11" t="n">
        <x:v>-37.435529</x:v>
      </x:c>
      <x:c r="N81" s="11" t="n">
        <x:v>-72.555505</x:v>
      </x:c>
      <x:c r="O81" s="10" t="inlineStr">
        <x:is>
          <x:t xml:space="preserve">-37.435529, -72.555505</x:t>
        </x:is>
      </x:c>
      <x:c r="P81" s="9" t="inlineStr">
        <x:is>
          <x:t xml:space="preserve">Turismo</x:t>
        </x:is>
      </x:c>
      <x:c r="Q81" s="9" t="inlineStr">
        <x:is>
          <x:t xml:space="preserve">Postventa cerrada</x:t>
        </x:is>
      </x:c>
      <x:c r="R81" s="9" t="inlineStr">
        <x:is>
          <x:t xml:space="preserve">HYBRID_MODULAR</x:t>
        </x:is>
      </x:c>
      <x:c r="S81" s="9" t="inlineStr">
        <x:is>
          <x:t xml:space="preserve">TES-0080</x:t>
        </x:is>
      </x:c>
    </x:row>
    <x:row r="82">
      <x:c r="A82" s="9" t="inlineStr">
        <x:is>
          <x:t xml:space="preserve">PRO-0081</x:t>
        </x:is>
      </x:c>
      <x:c r="B82" s="9" t="inlineStr">
        <x:is>
          <x:t xml:space="preserve">EMP-027</x:t>
        </x:is>
      </x:c>
      <x:c r="C82" s="9" t="inlineStr">
        <x:is>
          <x:t xml:space="preserve">MOD-0133</x:t>
        </x:is>
      </x:c>
      <x:c r="D82" s="9" t="inlineStr">
        <x:is>
          <x:t xml:space="preserve">Loteo Pucón 16</x:t>
        </x:is>
      </x:c>
      <x:c r="E82" s="9" t="inlineStr">
        <x:is>
          <x:t xml:space="preserve">Sí</x:t>
        </x:is>
      </x:c>
      <x:c r="F82" s="9" t="inlineStr">
        <x:is>
          <x:t xml:space="preserve">Camila Mella Campos</x:t>
        </x:is>
      </x:c>
      <x:c r="G82" s="16" t="n">
        <x:v>45624</x:v>
      </x:c>
      <x:c r="H82" s="12" t="n">
        <x:v>114.1</x:v>
      </x:c>
      <x:c r="I82" s="9" t="inlineStr">
        <x:is>
          <x:t xml:space="preserve">Pasaje Nueva Esperanza 361</x:t>
        </x:is>
      </x:c>
      <x:c r="J82" s="9" t="inlineStr">
        <x:is>
          <x:t xml:space="preserve">Los Ángeles</x:t>
        </x:is>
      </x:c>
      <x:c r="K82" s="9" t="inlineStr">
        <x:is>
          <x:t xml:space="preserve">Los Ángeles</x:t>
        </x:is>
      </x:c>
      <x:c r="L82" s="9" t="inlineStr">
        <x:is>
          <x:t xml:space="preserve">Biobío</x:t>
        </x:is>
      </x:c>
      <x:c r="M82" s="11" t="n">
        <x:v>-37.50288</x:v>
      </x:c>
      <x:c r="N82" s="11" t="n">
        <x:v>-72.438962</x:v>
      </x:c>
      <x:c r="O82" s="10" t="inlineStr">
        <x:is>
          <x:t xml:space="preserve">-37.50288, -72.438962</x:t>
        </x:is>
      </x:c>
      <x:c r="P82" s="9" t="inlineStr">
        <x:is>
          <x:t xml:space="preserve">Turismo</x:t>
        </x:is>
      </x:c>
      <x:c r="Q82" s="9" t="inlineStr">
        <x:is>
          <x:t xml:space="preserve">Entregado</x:t>
        </x:is>
      </x:c>
      <x:c r="R82" s="9" t="inlineStr">
        <x:is>
          <x:t xml:space="preserve">SIP</x:t>
        </x:is>
      </x:c>
      <x:c r="S82" s="9" t="inlineStr">
        <x:is>
          <x:t xml:space="preserve">TES-0081</x:t>
        </x:is>
      </x:c>
    </x:row>
    <x:row r="83">
      <x:c r="A83" s="9" t="inlineStr">
        <x:is>
          <x:t xml:space="preserve">PRO-0082</x:t>
        </x:is>
      </x:c>
      <x:c r="B83" s="9" t="inlineStr">
        <x:is>
          <x:t xml:space="preserve">EMP-028</x:t>
        </x:is>
      </x:c>
      <x:c r="C83" s="9" t="inlineStr">
        <x:is>
          <x:t xml:space="preserve">MOD-0138</x:t>
        </x:is>
      </x:c>
      <x:c r="D83" s="9" t="inlineStr">
        <x:is>
          <x:t xml:space="preserve">Mirador Licanray 11</x:t>
        </x:is>
      </x:c>
      <x:c r="E83" s="9" t="inlineStr">
        <x:is>
          <x:t xml:space="preserve">Sí</x:t>
        </x:is>
      </x:c>
      <x:c r="F83" s="9" t="inlineStr">
        <x:is>
          <x:t xml:space="preserve">Martina Araya Acuña</x:t>
        </x:is>
      </x:c>
      <x:c r="G83" s="16" t="n">
        <x:v>44526</x:v>
      </x:c>
      <x:c r="H83" s="12" t="n">
        <x:v>91.7</x:v>
      </x:c>
      <x:c r="I83" s="9" t="inlineStr">
        <x:is>
          <x:t xml:space="preserve">Pasaje Los Coigües 497</x:t>
        </x:is>
      </x:c>
      <x:c r="J83" s="9" t="inlineStr">
        <x:is>
          <x:t xml:space="preserve">Concepción</x:t>
        </x:is>
      </x:c>
      <x:c r="K83" s="9" t="inlineStr">
        <x:is>
          <x:t xml:space="preserve">Concepción</x:t>
        </x:is>
      </x:c>
      <x:c r="L83" s="9" t="inlineStr">
        <x:is>
          <x:t xml:space="preserve">Biobío</x:t>
        </x:is>
      </x:c>
      <x:c r="M83" s="11" t="n">
        <x:v>-36.988111</x:v>
      </x:c>
      <x:c r="N83" s="11" t="n">
        <x:v>-72.669989</x:v>
      </x:c>
      <x:c r="O83" s="10" t="inlineStr">
        <x:is>
          <x:t xml:space="preserve">-36.988111, -72.669989</x:t>
        </x:is>
      </x:c>
      <x:c r="P83" s="9" t="inlineStr">
        <x:is>
          <x:t xml:space="preserve">Parcela</x:t>
        </x:is>
      </x:c>
      <x:c r="Q83" s="9" t="inlineStr">
        <x:is>
          <x:t xml:space="preserve">Entregado</x:t>
        </x:is>
      </x:c>
      <x:c r="R83" s="9" t="inlineStr">
        <x:is>
          <x:t xml:space="preserve">SIP</x:t>
        </x:is>
      </x:c>
      <x:c r="S83" s="9" t="inlineStr">
        <x:is>
          <x:t xml:space="preserve">TES-0082</x:t>
        </x:is>
      </x:c>
    </x:row>
    <x:row r="84">
      <x:c r="A84" s="9" t="inlineStr">
        <x:is>
          <x:t xml:space="preserve">PRO-0083</x:t>
        </x:is>
      </x:c>
      <x:c r="B84" s="9" t="inlineStr">
        <x:is>
          <x:t xml:space="preserve">EMP-028</x:t>
        </x:is>
      </x:c>
      <x:c r="C84" s="9" t="inlineStr">
        <x:is>
          <x:t xml:space="preserve">MOD-0137</x:t>
        </x:is>
      </x:c>
      <x:c r="D84" s="9" t="inlineStr">
        <x:is>
          <x:t xml:space="preserve">Casa Chiloé 4</x:t>
        </x:is>
      </x:c>
      <x:c r="E84" s="9" t="inlineStr">
        <x:is>
          <x:t xml:space="preserve">Sí</x:t>
        </x:is>
      </x:c>
      <x:c r="F84" s="9" t="inlineStr">
        <x:is>
          <x:t xml:space="preserve">Isidora Ramírez Becerra</x:t>
        </x:is>
      </x:c>
      <x:c r="G84" s="16" t="n">
        <x:v>44268</x:v>
      </x:c>
      <x:c r="H84" s="12" t="n">
        <x:v>82.90000000000001</x:v>
      </x:c>
      <x:c r="I84" s="9" t="inlineStr">
        <x:is>
          <x:t xml:space="preserve">Sendero Las Dunas 342</x:t>
        </x:is>
      </x:c>
      <x:c r="J84" s="9" t="inlineStr">
        <x:is>
          <x:t xml:space="preserve">Concepción</x:t>
        </x:is>
      </x:c>
      <x:c r="K84" s="9" t="inlineStr">
        <x:is>
          <x:t xml:space="preserve">Concepción</x:t>
        </x:is>
      </x:c>
      <x:c r="L84" s="9" t="inlineStr">
        <x:is>
          <x:t xml:space="preserve">Biobío</x:t>
        </x:is>
      </x:c>
      <x:c r="M84" s="11" t="n">
        <x:v>-36.503168</x:v>
      </x:c>
      <x:c r="N84" s="11" t="n">
        <x:v>-73.24767199999999</x:v>
      </x:c>
      <x:c r="O84" s="10" t="inlineStr">
        <x:is>
          <x:t xml:space="preserve">-36.503168, -73.247672</x:t>
        </x:is>
      </x:c>
      <x:c r="P84" s="9" t="inlineStr">
        <x:is>
          <x:t xml:space="preserve">Habitacional</x:t>
        </x:is>
      </x:c>
      <x:c r="Q84" s="9" t="inlineStr">
        <x:is>
          <x:t xml:space="preserve">Postventa cerrada</x:t>
        </x:is>
      </x:c>
      <x:c r="R84" s="9" t="inlineStr">
        <x:is>
          <x:t xml:space="preserve">MODULAR_TIMBER</x:t>
        </x:is>
      </x:c>
      <x:c r="S84" s="9" t="inlineStr">
        <x:is>
          <x:t xml:space="preserve">TES-0083</x:t>
        </x:is>
      </x:c>
    </x:row>
    <x:row r="85">
      <x:c r="A85" s="9" t="inlineStr">
        <x:is>
          <x:t xml:space="preserve">PRO-0084</x:t>
        </x:is>
      </x:c>
      <x:c r="B85" s="9" t="inlineStr">
        <x:is>
          <x:t xml:space="preserve">EMP-028</x:t>
        </x:is>
      </x:c>
      <x:c r="C85" s="9" t="inlineStr">
        <x:is>
          <x:t xml:space="preserve">MOD-0138</x:t>
        </x:is>
      </x:c>
      <x:c r="D85" s="9" t="inlineStr">
        <x:is>
          <x:t xml:space="preserve">Terraza Puyehue 26</x:t>
        </x:is>
      </x:c>
      <x:c r="E85" s="9" t="inlineStr">
        <x:is>
          <x:t xml:space="preserve">Sí</x:t>
        </x:is>
      </x:c>
      <x:c r="F85" s="9" t="inlineStr">
        <x:is>
          <x:t xml:space="preserve">Ignacia Pérez Herrera</x:t>
        </x:is>
      </x:c>
      <x:c r="G85" s="16" t="n">
        <x:v>45315</x:v>
      </x:c>
      <x:c r="H85" s="12" t="n">
        <x:v>94.8</x:v>
      </x:c>
      <x:c r="I85" s="9" t="inlineStr">
        <x:is>
          <x:t xml:space="preserve">Sendero Nueva Esperanza 1554</x:t>
        </x:is>
      </x:c>
      <x:c r="J85" s="9" t="inlineStr">
        <x:is>
          <x:t xml:space="preserve">Concepción</x:t>
        </x:is>
      </x:c>
      <x:c r="K85" s="9" t="inlineStr">
        <x:is>
          <x:t xml:space="preserve">Concepción</x:t>
        </x:is>
      </x:c>
      <x:c r="L85" s="9" t="inlineStr">
        <x:is>
          <x:t xml:space="preserve">Biobío</x:t>
        </x:is>
      </x:c>
      <x:c r="M85" s="11" t="n">
        <x:v>-36.955888</x:v>
      </x:c>
      <x:c r="N85" s="11" t="n">
        <x:v>-72.857417</x:v>
      </x:c>
      <x:c r="O85" s="10" t="inlineStr">
        <x:is>
          <x:t xml:space="preserve">-36.955888, -72.857417</x:t>
        </x:is>
      </x:c>
      <x:c r="P85" s="9" t="inlineStr">
        <x:is>
          <x:t xml:space="preserve">Parcela</x:t>
        </x:is>
      </x:c>
      <x:c r="Q85" s="9" t="inlineStr">
        <x:is>
          <x:t xml:space="preserve">Postventa cerrada</x:t>
        </x:is>
      </x:c>
      <x:c r="R85" s="9" t="inlineStr">
        <x:is>
          <x:t xml:space="preserve">SIP</x:t>
        </x:is>
      </x:c>
      <x:c r="S85" s="9" t="inlineStr">
        <x:is>
          <x:t xml:space="preserve">TES-0084</x:t>
        </x:is>
      </x:c>
    </x:row>
    <x:row r="86">
      <x:c r="A86" s="9" t="inlineStr">
        <x:is>
          <x:t xml:space="preserve">PRO-0085</x:t>
        </x:is>
      </x:c>
      <x:c r="B86" s="9" t="inlineStr">
        <x:is>
          <x:t xml:space="preserve">EMP-029</x:t>
        </x:is>
      </x:c>
      <x:c r="C86" s="9" t="inlineStr">
        <x:is>
          <x:t xml:space="preserve">MOD-0144</x:t>
        </x:is>
      </x:c>
      <x:c r="D86" s="9" t="inlineStr">
        <x:is>
          <x:t xml:space="preserve">Mirador Lonquimay 2</x:t>
        </x:is>
      </x:c>
      <x:c r="E86" s="9" t="inlineStr">
        <x:is>
          <x:t xml:space="preserve">Sí</x:t>
        </x:is>
      </x:c>
      <x:c r="F86" s="9" t="inlineStr">
        <x:is>
          <x:t xml:space="preserve">Benjamín Torres Vargas</x:t>
        </x:is>
      </x:c>
      <x:c r="G86" s="16" t="n">
        <x:v>45325</x:v>
      </x:c>
      <x:c r="H86" s="12" t="n">
        <x:v>115.8</x:v>
      </x:c>
      <x:c r="I86" s="9" t="inlineStr">
        <x:is>
          <x:t xml:space="preserve">Ruta Río Claro 741</x:t>
        </x:is>
      </x:c>
      <x:c r="J86" s="9" t="inlineStr">
        <x:is>
          <x:t xml:space="preserve">San Pedro de la Paz</x:t>
        </x:is>
      </x:c>
      <x:c r="K86" s="9" t="inlineStr">
        <x:is>
          <x:t xml:space="preserve">Concepción</x:t>
        </x:is>
      </x:c>
      <x:c r="L86" s="9" t="inlineStr">
        <x:is>
          <x:t xml:space="preserve">Biobío</x:t>
        </x:is>
      </x:c>
      <x:c r="M86" s="11" t="n">
        <x:v>-37.183709</x:v>
      </x:c>
      <x:c r="N86" s="11" t="n">
        <x:v>-73.096491</x:v>
      </x:c>
      <x:c r="O86" s="10" t="inlineStr">
        <x:is>
          <x:t xml:space="preserve">-37.183709, -73.096491</x:t>
        </x:is>
      </x:c>
      <x:c r="P86" s="9" t="inlineStr">
        <x:is>
          <x:t xml:space="preserve">Parcela</x:t>
        </x:is>
      </x:c>
      <x:c r="Q86" s="9" t="inlineStr">
        <x:is>
          <x:t xml:space="preserve">Entregado</x:t>
        </x:is>
      </x:c>
      <x:c r="R86" s="9" t="inlineStr">
        <x:is>
          <x:t xml:space="preserve">SIP</x:t>
        </x:is>
      </x:c>
      <x:c r="S86" s="9" t="inlineStr">
        <x:is>
          <x:t xml:space="preserve">TES-0085</x:t>
        </x:is>
      </x:c>
    </x:row>
    <x:row r="87">
      <x:c r="A87" s="9" t="inlineStr">
        <x:is>
          <x:t xml:space="preserve">PRO-0086</x:t>
        </x:is>
      </x:c>
      <x:c r="B87" s="9" t="inlineStr">
        <x:is>
          <x:t xml:space="preserve">EMP-029</x:t>
        </x:is>
      </x:c>
      <x:c r="C87" s="9" t="inlineStr">
        <x:is>
          <x:t xml:space="preserve">MOD-0143</x:t>
        </x:is>
      </x:c>
      <x:c r="D87" s="9" t="inlineStr">
        <x:is>
          <x:t xml:space="preserve">Refugio Panguipulli 20</x:t>
        </x:is>
      </x:c>
      <x:c r="E87" s="9" t="inlineStr">
        <x:is>
          <x:t xml:space="preserve">Sí</x:t>
        </x:is>
      </x:c>
      <x:c r="F87" s="9" t="inlineStr">
        <x:is>
          <x:t xml:space="preserve">Gabriel González Soto</x:t>
        </x:is>
      </x:c>
      <x:c r="G87" s="16" t="n">
        <x:v>45299</x:v>
      </x:c>
      <x:c r="H87" s="12" t="n">
        <x:v>101.8</x:v>
      </x:c>
      <x:c r="I87" s="9" t="inlineStr">
        <x:is>
          <x:t xml:space="preserve">Parque La Montaña 1014</x:t>
        </x:is>
      </x:c>
      <x:c r="J87" s="9" t="inlineStr">
        <x:is>
          <x:t xml:space="preserve">San Pedro de la Paz</x:t>
        </x:is>
      </x:c>
      <x:c r="K87" s="9" t="inlineStr">
        <x:is>
          <x:t xml:space="preserve">Concepción</x:t>
        </x:is>
      </x:c>
      <x:c r="L87" s="9" t="inlineStr">
        <x:is>
          <x:t xml:space="preserve">Biobío</x:t>
        </x:is>
      </x:c>
      <x:c r="M87" s="11" t="n">
        <x:v>-36.727122</x:v>
      </x:c>
      <x:c r="N87" s="11" t="n">
        <x:v>-72.858419</x:v>
      </x:c>
      <x:c r="O87" s="10" t="inlineStr">
        <x:is>
          <x:t xml:space="preserve">-36.727122, -72.858419</x:t>
        </x:is>
      </x:c>
      <x:c r="P87" s="9" t="inlineStr">
        <x:is>
          <x:t xml:space="preserve">Parcela</x:t>
        </x:is>
      </x:c>
      <x:c r="Q87" s="9" t="inlineStr">
        <x:is>
          <x:t xml:space="preserve">Entregado</x:t>
        </x:is>
      </x:c>
      <x:c r="R87" s="9" t="inlineStr">
        <x:is>
          <x:t xml:space="preserve">HYBRID_MODULAR</x:t>
        </x:is>
      </x:c>
      <x:c r="S87" s="9" t="inlineStr">
        <x:is>
          <x:t xml:space="preserve">TES-0086</x:t>
        </x:is>
      </x:c>
    </x:row>
    <x:row r="88">
      <x:c r="A88" s="9" t="inlineStr">
        <x:is>
          <x:t xml:space="preserve">PRO-0087</x:t>
        </x:is>
      </x:c>
      <x:c r="B88" s="9" t="inlineStr">
        <x:is>
          <x:t xml:space="preserve">EMP-029</x:t>
        </x:is>
      </x:c>
      <x:c r="C88" s="9" t="inlineStr">
        <x:is>
          <x:t xml:space="preserve">MOD-0144</x:t>
        </x:is>
      </x:c>
      <x:c r="D88" s="9" t="inlineStr">
        <x:is>
          <x:t xml:space="preserve">Vista Cobquecura 26</x:t>
        </x:is>
      </x:c>
      <x:c r="E88" s="9" t="inlineStr">
        <x:is>
          <x:t xml:space="preserve">Sí</x:t>
        </x:is>
      </x:c>
      <x:c r="F88" s="9" t="inlineStr">
        <x:is>
          <x:t xml:space="preserve">Dominga Lagos Morales</x:t>
        </x:is>
      </x:c>
      <x:c r="G88" s="16" t="n">
        <x:v>44221</x:v>
      </x:c>
      <x:c r="H88" s="12" t="n">
        <x:v>118.4</x:v>
      </x:c>
      <x:c r="I88" s="9" t="inlineStr">
        <x:is>
          <x:t xml:space="preserve">Camino La Montaña 1500</x:t>
        </x:is>
      </x:c>
      <x:c r="J88" s="9" t="inlineStr">
        <x:is>
          <x:t xml:space="preserve">San Pedro de la Paz</x:t>
        </x:is>
      </x:c>
      <x:c r="K88" s="9" t="inlineStr">
        <x:is>
          <x:t xml:space="preserve">Concepción</x:t>
        </x:is>
      </x:c>
      <x:c r="L88" s="9" t="inlineStr">
        <x:is>
          <x:t xml:space="preserve">Biobío</x:t>
        </x:is>
      </x:c>
      <x:c r="M88" s="11" t="n">
        <x:v>-36.955117</x:v>
      </x:c>
      <x:c r="N88" s="11" t="n">
        <x:v>-72.844489</x:v>
      </x:c>
      <x:c r="O88" s="10" t="inlineStr">
        <x:is>
          <x:t xml:space="preserve">-36.955117, -72.844489</x:t>
        </x:is>
      </x:c>
      <x:c r="P88" s="9" t="inlineStr">
        <x:is>
          <x:t xml:space="preserve">Segunda vivienda</x:t>
        </x:is>
      </x:c>
      <x:c r="Q88" s="9" t="inlineStr">
        <x:is>
          <x:t xml:space="preserve">Entregado</x:t>
        </x:is>
      </x:c>
      <x:c r="R88" s="9" t="inlineStr">
        <x:is>
          <x:t xml:space="preserve">SIP</x:t>
        </x:is>
      </x:c>
      <x:c r="S88" s="9" t="inlineStr">
        <x:is>
          <x:t xml:space="preserve">TES-0087</x:t>
        </x:is>
      </x:c>
    </x:row>
    <x:row r="89">
      <x:c r="A89" s="9" t="inlineStr">
        <x:is>
          <x:t xml:space="preserve">PRO-0088</x:t>
        </x:is>
      </x:c>
      <x:c r="B89" s="9" t="inlineStr">
        <x:is>
          <x:t xml:space="preserve">EMP-030</x:t>
        </x:is>
      </x:c>
      <x:c r="C89" s="9" t="inlineStr">
        <x:is>
          <x:t xml:space="preserve">MOD-0149</x:t>
        </x:is>
      </x:c>
      <x:c r="D89" s="9" t="inlineStr">
        <x:is>
          <x:t xml:space="preserve">Bosques de Aysén 1</x:t>
        </x:is>
      </x:c>
      <x:c r="E89" s="9" t="inlineStr">
        <x:is>
          <x:t xml:space="preserve">Sí</x:t>
        </x:is>
      </x:c>
      <x:c r="F89" s="9" t="inlineStr">
        <x:is>
          <x:t xml:space="preserve">Martín Mella Sandoval</x:t>
        </x:is>
      </x:c>
      <x:c r="G89" s="16" t="n">
        <x:v>44373</x:v>
      </x:c>
      <x:c r="H89" s="12" t="n">
        <x:v>151.1</x:v>
      </x:c>
      <x:c r="I89" s="9" t="inlineStr">
        <x:is>
          <x:t xml:space="preserve">Los Los Canelos 1219</x:t>
        </x:is>
      </x:c>
      <x:c r="J89" s="9" t="inlineStr">
        <x:is>
          <x:t xml:space="preserve">Talcahuano</x:t>
        </x:is>
      </x:c>
      <x:c r="K89" s="9" t="inlineStr">
        <x:is>
          <x:t xml:space="preserve">Concepción</x:t>
        </x:is>
      </x:c>
      <x:c r="L89" s="9" t="inlineStr">
        <x:is>
          <x:t xml:space="preserve">Biobío</x:t>
        </x:is>
      </x:c>
      <x:c r="M89" s="11" t="n">
        <x:v>-36.912661</x:v>
      </x:c>
      <x:c r="N89" s="11" t="n">
        <x:v>-72.81330699999999</x:v>
      </x:c>
      <x:c r="O89" s="10" t="inlineStr">
        <x:is>
          <x:t xml:space="preserve">-36.912661, -72.813307</x:t>
        </x:is>
      </x:c>
      <x:c r="P89" s="9" t="inlineStr">
        <x:is>
          <x:t xml:space="preserve">Segunda vivienda</x:t>
        </x:is>
      </x:c>
      <x:c r="Q89" s="9" t="inlineStr">
        <x:is>
          <x:t xml:space="preserve">Entregado</x:t>
        </x:is>
      </x:c>
      <x:c r="R89" s="9" t="inlineStr">
        <x:is>
          <x:t xml:space="preserve">MODULAR_TIMBER</x:t>
        </x:is>
      </x:c>
      <x:c r="S89" s="9" t="inlineStr">
        <x:is>
          <x:t xml:space="preserve">TES-0088</x:t>
        </x:is>
      </x:c>
    </x:row>
    <x:row r="90">
      <x:c r="A90" s="9" t="inlineStr">
        <x:is>
          <x:t xml:space="preserve">PRO-0089</x:t>
        </x:is>
      </x:c>
      <x:c r="B90" s="9" t="inlineStr">
        <x:is>
          <x:t xml:space="preserve">EMP-030</x:t>
        </x:is>
      </x:c>
      <x:c r="C90" s="9" t="inlineStr">
        <x:is>
          <x:t xml:space="preserve">MOD-0149</x:t>
        </x:is>
      </x:c>
      <x:c r="D90" s="9" t="inlineStr">
        <x:is>
          <x:t xml:space="preserve">Loteo Cautín 10</x:t>
        </x:is>
      </x:c>
      <x:c r="E90" s="9" t="inlineStr">
        <x:is>
          <x:t xml:space="preserve">Sí</x:t>
        </x:is>
      </x:c>
      <x:c r="F90" s="9" t="inlineStr">
        <x:is>
          <x:t xml:space="preserve">Claudia Núñez Bahamondes</x:t>
        </x:is>
      </x:c>
      <x:c r="G90" s="16" t="n">
        <x:v>44477</x:v>
      </x:c>
      <x:c r="H90" s="12" t="n">
        <x:v>152.2</x:v>
      </x:c>
      <x:c r="I90" s="9" t="inlineStr">
        <x:is>
          <x:t xml:space="preserve">Sendero Taller del Pacífico 1695</x:t>
        </x:is>
      </x:c>
      <x:c r="J90" s="9" t="inlineStr">
        <x:is>
          <x:t xml:space="preserve">Talcahuano</x:t>
        </x:is>
      </x:c>
      <x:c r="K90" s="9" t="inlineStr">
        <x:is>
          <x:t xml:space="preserve">Concepción</x:t>
        </x:is>
      </x:c>
      <x:c r="L90" s="9" t="inlineStr">
        <x:is>
          <x:t xml:space="preserve">Biobío</x:t>
        </x:is>
      </x:c>
      <x:c r="M90" s="11" t="n">
        <x:v>-36.542324</x:v>
      </x:c>
      <x:c r="N90" s="11" t="n">
        <x:v>-73.30255099999999</x:v>
      </x:c>
      <x:c r="O90" s="10" t="inlineStr">
        <x:is>
          <x:t xml:space="preserve">-36.542324, -73.302551</x:t>
        </x:is>
      </x:c>
      <x:c r="P90" s="9" t="inlineStr">
        <x:is>
          <x:t xml:space="preserve">Segunda vivienda</x:t>
        </x:is>
      </x:c>
      <x:c r="Q90" s="9" t="inlineStr">
        <x:is>
          <x:t xml:space="preserve">Postventa cerrada</x:t>
        </x:is>
      </x:c>
      <x:c r="R90" s="9" t="inlineStr">
        <x:is>
          <x:t xml:space="preserve">MODULAR_TIMBER</x:t>
        </x:is>
      </x:c>
      <x:c r="S90" s="9" t="inlineStr">
        <x:is>
          <x:t xml:space="preserve">TES-0089</x:t>
        </x:is>
      </x:c>
    </x:row>
    <x:row r="91">
      <x:c r="A91" s="9" t="inlineStr">
        <x:is>
          <x:t xml:space="preserve">PRO-0090</x:t>
        </x:is>
      </x:c>
      <x:c r="B91" s="9" t="inlineStr">
        <x:is>
          <x:t xml:space="preserve">EMP-030</x:t>
        </x:is>
      </x:c>
      <x:c r="C91" s="9" t="inlineStr">
        <x:is>
          <x:t xml:space="preserve">MOD-0146</x:t>
        </x:is>
      </x:c>
      <x:c r="D91" s="9" t="inlineStr">
        <x:is>
          <x:t xml:space="preserve">Vista Villarrica 8</x:t>
        </x:is>
      </x:c>
      <x:c r="E91" s="9" t="inlineStr">
        <x:is>
          <x:t xml:space="preserve">Sí</x:t>
        </x:is>
      </x:c>
      <x:c r="F91" s="9" t="inlineStr">
        <x:is>
          <x:t xml:space="preserve">Ignacia Navarro Carrasco</x:t>
        </x:is>
      </x:c>
      <x:c r="G91" s="16" t="n">
        <x:v>45508</x:v>
      </x:c>
      <x:c r="H91" s="12" t="n">
        <x:v>38.1</x:v>
      </x:c>
      <x:c r="I91" s="9" t="inlineStr">
        <x:is>
          <x:t xml:space="preserve">Calle Las Bandurrias 377</x:t>
        </x:is>
      </x:c>
      <x:c r="J91" s="9" t="inlineStr">
        <x:is>
          <x:t xml:space="preserve">Talcahuano</x:t>
        </x:is>
      </x:c>
      <x:c r="K91" s="9" t="inlineStr">
        <x:is>
          <x:t xml:space="preserve">Concepción</x:t>
        </x:is>
      </x:c>
      <x:c r="L91" s="9" t="inlineStr">
        <x:is>
          <x:t xml:space="preserve">Biobío</x:t>
        </x:is>
      </x:c>
      <x:c r="M91" s="11" t="n">
        <x:v>-36.794144</x:v>
      </x:c>
      <x:c r="N91" s="11" t="n">
        <x:v>-73.047506</x:v>
      </x:c>
      <x:c r="O91" s="10" t="inlineStr">
        <x:is>
          <x:t xml:space="preserve">-36.794144, -73.047506</x:t>
        </x:is>
      </x:c>
      <x:c r="P91" s="9" t="inlineStr">
        <x:is>
          <x:t xml:space="preserve">Habitacional</x:t>
        </x:is>
      </x:c>
      <x:c r="Q91" s="9" t="inlineStr">
        <x:is>
          <x:t xml:space="preserve">Entregado</x:t>
        </x:is>
      </x:c>
      <x:c r="R91" s="9" t="inlineStr">
        <x:is>
          <x:t xml:space="preserve">STEEL_FRAME</x:t>
        </x:is>
      </x:c>
      <x:c r="S91" s="9" t="inlineStr">
        <x:is>
          <x:t xml:space="preserve">TES-0090</x:t>
        </x:is>
      </x:c>
    </x:row>
    <x:row r="92">
      <x:c r="A92" s="9" t="inlineStr">
        <x:is>
          <x:t xml:space="preserve">PRO-0091</x:t>
        </x:is>
      </x:c>
      <x:c r="B92" s="9" t="inlineStr">
        <x:is>
          <x:t xml:space="preserve">EMP-031</x:t>
        </x:is>
      </x:c>
      <x:c r="C92" s="9" t="inlineStr">
        <x:is>
          <x:t xml:space="preserve">MOD-0155</x:t>
        </x:is>
      </x:c>
      <x:c r="D92" s="9" t="inlineStr">
        <x:is>
          <x:t xml:space="preserve">Mirador Elqui 17</x:t>
        </x:is>
      </x:c>
      <x:c r="E92" s="9" t="inlineStr">
        <x:is>
          <x:t xml:space="preserve">Sí</x:t>
        </x:is>
      </x:c>
      <x:c r="F92" s="9" t="inlineStr">
        <x:is>
          <x:t xml:space="preserve">Carolina Morales Mella</x:t>
        </x:is>
      </x:c>
      <x:c r="G92" s="16" t="n">
        <x:v>45181</x:v>
      </x:c>
      <x:c r="H92" s="12" t="n">
        <x:v>180.1</x:v>
      </x:c>
      <x:c r="I92" s="9" t="inlineStr">
        <x:is>
          <x:t xml:space="preserve">Sendero Piedra Azul 1685</x:t>
        </x:is>
      </x:c>
      <x:c r="J92" s="9" t="inlineStr">
        <x:is>
          <x:t xml:space="preserve">Temuco</x:t>
        </x:is>
      </x:c>
      <x:c r="K92" s="9" t="inlineStr">
        <x:is>
          <x:t xml:space="preserve">Temuco</x:t>
        </x:is>
      </x:c>
      <x:c r="L92" s="9" t="inlineStr">
        <x:is>
          <x:t xml:space="preserve">La Araucanía</x:t>
        </x:is>
      </x:c>
      <x:c r="M92" s="11" t="n">
        <x:v>-38.549724</x:v>
      </x:c>
      <x:c r="N92" s="11" t="n">
        <x:v>-72.428496</x:v>
      </x:c>
      <x:c r="O92" s="10" t="inlineStr">
        <x:is>
          <x:t xml:space="preserve">-38.549724, -72.428496</x:t>
        </x:is>
      </x:c>
      <x:c r="P92" s="9" t="inlineStr">
        <x:is>
          <x:t xml:space="preserve">Parcela</x:t>
        </x:is>
      </x:c>
      <x:c r="Q92" s="9" t="inlineStr">
        <x:is>
          <x:t xml:space="preserve">Entregado</x:t>
        </x:is>
      </x:c>
      <x:c r="R92" s="9" t="inlineStr">
        <x:is>
          <x:t xml:space="preserve">HYBRID_MODULAR</x:t>
        </x:is>
      </x:c>
      <x:c r="S92" s="9" t="inlineStr">
        <x:is>
          <x:t xml:space="preserve">TES-0091</x:t>
        </x:is>
      </x:c>
    </x:row>
    <x:row r="93">
      <x:c r="A93" s="9" t="inlineStr">
        <x:is>
          <x:t xml:space="preserve">PRO-0092</x:t>
        </x:is>
      </x:c>
      <x:c r="B93" s="9" t="inlineStr">
        <x:is>
          <x:t xml:space="preserve">EMP-031</x:t>
        </x:is>
      </x:c>
      <x:c r="C93" s="9" t="inlineStr">
        <x:is>
          <x:t xml:space="preserve">MOD-0151</x:t>
        </x:is>
      </x:c>
      <x:c r="D93" s="9" t="inlineStr">
        <x:is>
          <x:t xml:space="preserve">Refugio Licanray 10</x:t>
        </x:is>
      </x:c>
      <x:c r="E93" s="9" t="inlineStr">
        <x:is>
          <x:t xml:space="preserve">Sí</x:t>
        </x:is>
      </x:c>
      <x:c r="F93" s="9" t="inlineStr">
        <x:is>
          <x:t xml:space="preserve">Ignacia Valdés Jara</x:t>
        </x:is>
      </x:c>
      <x:c r="G93" s="16" t="n">
        <x:v>45995</x:v>
      </x:c>
      <x:c r="H93" s="12" t="n">
        <x:v>62.4</x:v>
      </x:c>
      <x:c r="I93" s="9" t="inlineStr">
        <x:is>
          <x:t xml:space="preserve">Los Las Bandurrias 1313</x:t>
        </x:is>
      </x:c>
      <x:c r="J93" s="9" t="inlineStr">
        <x:is>
          <x:t xml:space="preserve">Temuco</x:t>
        </x:is>
      </x:c>
      <x:c r="K93" s="9" t="inlineStr">
        <x:is>
          <x:t xml:space="preserve">Temuco</x:t>
        </x:is>
      </x:c>
      <x:c r="L93" s="9" t="inlineStr">
        <x:is>
          <x:t xml:space="preserve">La Araucanía</x:t>
        </x:is>
      </x:c>
      <x:c r="M93" s="11" t="n">
        <x:v>-38.907396</x:v>
      </x:c>
      <x:c r="N93" s="11" t="n">
        <x:v>-72.83107099999999</x:v>
      </x:c>
      <x:c r="O93" s="10" t="inlineStr">
        <x:is>
          <x:t xml:space="preserve">-38.907396, -72.831071</x:t>
        </x:is>
      </x:c>
      <x:c r="P93" s="9" t="inlineStr">
        <x:is>
          <x:t xml:space="preserve">Turismo</x:t>
        </x:is>
      </x:c>
      <x:c r="Q93" s="9" t="inlineStr">
        <x:is>
          <x:t xml:space="preserve">Entregado</x:t>
        </x:is>
      </x:c>
      <x:c r="R93" s="9" t="inlineStr">
        <x:is>
          <x:t xml:space="preserve">SIP</x:t>
        </x:is>
      </x:c>
      <x:c r="S93" s="9" t="inlineStr">
        <x:is>
          <x:t xml:space="preserve">TES-0092</x:t>
        </x:is>
      </x:c>
    </x:row>
    <x:row r="94">
      <x:c r="A94" s="9" t="inlineStr">
        <x:is>
          <x:t xml:space="preserve">PRO-0093</x:t>
        </x:is>
      </x:c>
      <x:c r="B94" s="9" t="inlineStr">
        <x:is>
          <x:t xml:space="preserve">EMP-031</x:t>
        </x:is>
      </x:c>
      <x:c r="C94" s="9" t="inlineStr">
        <x:is>
          <x:t xml:space="preserve">MOD-0152</x:t>
        </x:is>
      </x:c>
      <x:c r="D94" s="9" t="inlineStr">
        <x:is>
          <x:t xml:space="preserve">Refugio Maipo 18</x:t>
        </x:is>
      </x:c>
      <x:c r="E94" s="9" t="inlineStr">
        <x:is>
          <x:t xml:space="preserve">Sí</x:t>
        </x:is>
      </x:c>
      <x:c r="F94" s="9" t="inlineStr">
        <x:is>
          <x:t xml:space="preserve">Esteban Contreras Sandoval</x:t>
        </x:is>
      </x:c>
      <x:c r="G94" s="16" t="n">
        <x:v>45738</x:v>
      </x:c>
      <x:c r="H94" s="12" t="n">
        <x:v>101.1</x:v>
      </x:c>
      <x:c r="I94" s="9" t="inlineStr">
        <x:is>
          <x:t xml:space="preserve">Calle Los Rieles 1413</x:t>
        </x:is>
      </x:c>
      <x:c r="J94" s="9" t="inlineStr">
        <x:is>
          <x:t xml:space="preserve">Temuco</x:t>
        </x:is>
      </x:c>
      <x:c r="K94" s="9" t="inlineStr">
        <x:is>
          <x:t xml:space="preserve">Temuco</x:t>
        </x:is>
      </x:c>
      <x:c r="L94" s="9" t="inlineStr">
        <x:is>
          <x:t xml:space="preserve">La Araucanía</x:t>
        </x:is>
      </x:c>
      <x:c r="M94" s="11" t="n">
        <x:v>-38.931741</x:v>
      </x:c>
      <x:c r="N94" s="11" t="n">
        <x:v>-72.64674599999999</x:v>
      </x:c>
      <x:c r="O94" s="10" t="inlineStr">
        <x:is>
          <x:t xml:space="preserve">-38.931741, -72.646746</x:t>
        </x:is>
      </x:c>
      <x:c r="P94" s="9" t="inlineStr">
        <x:is>
          <x:t xml:space="preserve">Parcela</x:t>
        </x:is>
      </x:c>
      <x:c r="Q94" s="9" t="inlineStr">
        <x:is>
          <x:t xml:space="preserve">Entregado</x:t>
        </x:is>
      </x:c>
      <x:c r="R94" s="9" t="inlineStr">
        <x:is>
          <x:t xml:space="preserve">SIP</x:t>
        </x:is>
      </x:c>
      <x:c r="S94" s="9" t="inlineStr">
        <x:is>
          <x:t xml:space="preserve">TES-0093</x:t>
        </x:is>
      </x:c>
    </x:row>
    <x:row r="95">
      <x:c r="A95" s="9" t="inlineStr">
        <x:is>
          <x:t xml:space="preserve">PRO-0094</x:t>
        </x:is>
      </x:c>
      <x:c r="B95" s="9" t="inlineStr">
        <x:is>
          <x:t xml:space="preserve">EMP-032</x:t>
        </x:is>
      </x:c>
      <x:c r="C95" s="9" t="inlineStr">
        <x:is>
          <x:t xml:space="preserve">MOD-0160</x:t>
        </x:is>
      </x:c>
      <x:c r="D95" s="9" t="inlineStr">
        <x:is>
          <x:t xml:space="preserve">Condominio Llanquihue 26</x:t>
        </x:is>
      </x:c>
      <x:c r="E95" s="9" t="inlineStr">
        <x:is>
          <x:t xml:space="preserve">Sí</x:t>
        </x:is>
      </x:c>
      <x:c r="F95" s="9" t="inlineStr">
        <x:is>
          <x:t xml:space="preserve">Sebastián Morales Pino</x:t>
        </x:is>
      </x:c>
      <x:c r="G95" s="16" t="n">
        <x:v>45190</x:v>
      </x:c>
      <x:c r="H95" s="12" t="n">
        <x:v>210.7</x:v>
      </x:c>
      <x:c r="I95" s="9" t="inlineStr">
        <x:is>
          <x:t xml:space="preserve">Ruta Las Lengas 1040</x:t>
        </x:is>
      </x:c>
      <x:c r="J95" s="9" t="inlineStr">
        <x:is>
          <x:t xml:space="preserve">Pucón</x:t>
        </x:is>
      </x:c>
      <x:c r="K95" s="9" t="inlineStr">
        <x:is>
          <x:t xml:space="preserve">Pucón</x:t>
        </x:is>
      </x:c>
      <x:c r="L95" s="9" t="inlineStr">
        <x:is>
          <x:t xml:space="preserve">La Araucanía</x:t>
        </x:is>
      </x:c>
      <x:c r="M95" s="11" t="n">
        <x:v>-38.97713</x:v>
      </x:c>
      <x:c r="N95" s="11" t="n">
        <x:v>-72.235606</x:v>
      </x:c>
      <x:c r="O95" s="10" t="inlineStr">
        <x:is>
          <x:t xml:space="preserve">-38.97713, -72.235606</x:t>
        </x:is>
      </x:c>
      <x:c r="P95" s="9" t="inlineStr">
        <x:is>
          <x:t xml:space="preserve">Parcela</x:t>
        </x:is>
      </x:c>
      <x:c r="Q95" s="9" t="inlineStr">
        <x:is>
          <x:t xml:space="preserve">Entregado</x:t>
        </x:is>
      </x:c>
      <x:c r="R95" s="9" t="inlineStr">
        <x:is>
          <x:t xml:space="preserve">HYBRID_MODULAR</x:t>
        </x:is>
      </x:c>
      <x:c r="S95" s="9" t="inlineStr">
        <x:is>
          <x:t xml:space="preserve">TES-0094</x:t>
        </x:is>
      </x:c>
    </x:row>
    <x:row r="96">
      <x:c r="A96" s="9" t="inlineStr">
        <x:is>
          <x:t xml:space="preserve">PRO-0095</x:t>
        </x:is>
      </x:c>
      <x:c r="B96" s="9" t="inlineStr">
        <x:is>
          <x:t xml:space="preserve">EMP-032</x:t>
        </x:is>
      </x:c>
      <x:c r="C96" s="9" t="inlineStr">
        <x:is>
          <x:t xml:space="preserve">MOD-0156</x:t>
        </x:is>
      </x:c>
      <x:c r="D96" s="9" t="inlineStr">
        <x:is>
          <x:t xml:space="preserve">Loteo Ranco 24</x:t>
        </x:is>
      </x:c>
      <x:c r="E96" s="9" t="inlineStr">
        <x:is>
          <x:t xml:space="preserve">Sí</x:t>
        </x:is>
      </x:c>
      <x:c r="F96" s="9" t="inlineStr">
        <x:is>
          <x:t xml:space="preserve">Martín González Venegas</x:t>
        </x:is>
      </x:c>
      <x:c r="G96" s="16" t="n">
        <x:v>44910</x:v>
      </x:c>
      <x:c r="H96" s="12" t="n">
        <x:v>41.6</x:v>
      </x:c>
      <x:c r="I96" s="9" t="inlineStr">
        <x:is>
          <x:t xml:space="preserve">Los Los Coigües 1463</x:t>
        </x:is>
      </x:c>
      <x:c r="J96" s="9" t="inlineStr">
        <x:is>
          <x:t xml:space="preserve">Pucón</x:t>
        </x:is>
      </x:c>
      <x:c r="K96" s="9" t="inlineStr">
        <x:is>
          <x:t xml:space="preserve">Pucón</x:t>
        </x:is>
      </x:c>
      <x:c r="L96" s="9" t="inlineStr">
        <x:is>
          <x:t xml:space="preserve">La Araucanía</x:t>
        </x:is>
      </x:c>
      <x:c r="M96" s="11" t="n">
        <x:v>-39.367967</x:v>
      </x:c>
      <x:c r="N96" s="11" t="n">
        <x:v>-71.777799</x:v>
      </x:c>
      <x:c r="O96" s="10" t="inlineStr">
        <x:is>
          <x:t xml:space="preserve">-39.367967, -71.777799</x:t>
        </x:is>
      </x:c>
      <x:c r="P96" s="9" t="inlineStr">
        <x:is>
          <x:t xml:space="preserve">Habitacional</x:t>
        </x:is>
      </x:c>
      <x:c r="Q96" s="9" t="inlineStr">
        <x:is>
          <x:t xml:space="preserve">Entregado</x:t>
        </x:is>
      </x:c>
      <x:c r="R96" s="9" t="inlineStr">
        <x:is>
          <x:t xml:space="preserve">SIP</x:t>
        </x:is>
      </x:c>
      <x:c r="S96" s="9" t="inlineStr">
        <x:is>
          <x:t xml:space="preserve">TES-0095</x:t>
        </x:is>
      </x:c>
    </x:row>
    <x:row r="97">
      <x:c r="A97" s="9" t="inlineStr">
        <x:is>
          <x:t xml:space="preserve">PRO-0096</x:t>
        </x:is>
      </x:c>
      <x:c r="B97" s="9" t="inlineStr">
        <x:is>
          <x:t xml:space="preserve">EMP-032</x:t>
        </x:is>
      </x:c>
      <x:c r="C97" s="9" t="inlineStr">
        <x:is>
          <x:t xml:space="preserve">MOD-0157</x:t>
        </x:is>
      </x:c>
      <x:c r="D97" s="9" t="inlineStr">
        <x:is>
          <x:t xml:space="preserve">Vista Cobquecura 2</x:t>
        </x:is>
      </x:c>
      <x:c r="E97" s="9" t="inlineStr">
        <x:is>
          <x:t xml:space="preserve">Sí</x:t>
        </x:is>
      </x:c>
      <x:c r="F97" s="9" t="inlineStr">
        <x:is>
          <x:t xml:space="preserve">Emilia Torres Vera</x:t>
        </x:is>
      </x:c>
      <x:c r="G97" s="16" t="n">
        <x:v>44463</x:v>
      </x:c>
      <x:c r="H97" s="12" t="n">
        <x:v>86.2</x:v>
      </x:c>
      <x:c r="I97" s="9" t="inlineStr">
        <x:is>
          <x:t xml:space="preserve">Camino Los Canelos 48</x:t>
        </x:is>
      </x:c>
      <x:c r="J97" s="9" t="inlineStr">
        <x:is>
          <x:t xml:space="preserve">Pucón</x:t>
        </x:is>
      </x:c>
      <x:c r="K97" s="9" t="inlineStr">
        <x:is>
          <x:t xml:space="preserve">Pucón</x:t>
        </x:is>
      </x:c>
      <x:c r="L97" s="9" t="inlineStr">
        <x:is>
          <x:t xml:space="preserve">La Araucanía</x:t>
        </x:is>
      </x:c>
      <x:c r="M97" s="11" t="n">
        <x:v>-39.324401</x:v>
      </x:c>
      <x:c r="N97" s="11" t="n">
        <x:v>-71.81560899999999</x:v>
      </x:c>
      <x:c r="O97" s="10" t="inlineStr">
        <x:is>
          <x:t xml:space="preserve">-39.324401, -71.815609</x:t>
        </x:is>
      </x:c>
      <x:c r="P97" s="9" t="inlineStr">
        <x:is>
          <x:t xml:space="preserve">Habitacional + home office</x:t>
        </x:is>
      </x:c>
      <x:c r="Q97" s="9" t="inlineStr">
        <x:is>
          <x:t xml:space="preserve">Entregado</x:t>
        </x:is>
      </x:c>
      <x:c r="R97" s="9" t="inlineStr">
        <x:is>
          <x:t xml:space="preserve">STEEL_FRAME</x:t>
        </x:is>
      </x:c>
      <x:c r="S97" s="9" t="inlineStr">
        <x:is>
          <x:t xml:space="preserve">TES-0096</x:t>
        </x:is>
      </x:c>
    </x:row>
    <x:row r="98">
      <x:c r="A98" s="9" t="inlineStr">
        <x:is>
          <x:t xml:space="preserve">PRO-0097</x:t>
        </x:is>
      </x:c>
      <x:c r="B98" s="9" t="inlineStr">
        <x:is>
          <x:t xml:space="preserve">EMP-033</x:t>
        </x:is>
      </x:c>
      <x:c r="C98" s="9" t="inlineStr">
        <x:is>
          <x:t xml:space="preserve">MOD-0165</x:t>
        </x:is>
      </x:c>
      <x:c r="D98" s="9" t="inlineStr">
        <x:is>
          <x:t xml:space="preserve">Condominio Cautín 7</x:t>
        </x:is>
      </x:c>
      <x:c r="E98" s="9" t="inlineStr">
        <x:is>
          <x:t xml:space="preserve">Sí</x:t>
        </x:is>
      </x:c>
      <x:c r="F98" s="9" t="inlineStr">
        <x:is>
          <x:t xml:space="preserve">Josefa Venegas Silva</x:t>
        </x:is>
      </x:c>
      <x:c r="G98" s="16" t="n">
        <x:v>44715</x:v>
      </x:c>
      <x:c r="H98" s="12" t="n">
        <x:v>200.7</x:v>
      </x:c>
      <x:c r="I98" s="9" t="inlineStr">
        <x:is>
          <x:t xml:space="preserve">Camino Parque Industrial Sur 1242</x:t>
        </x:is>
      </x:c>
      <x:c r="J98" s="9" t="inlineStr">
        <x:is>
          <x:t xml:space="preserve">Villarrica</x:t>
        </x:is>
      </x:c>
      <x:c r="K98" s="9" t="inlineStr">
        <x:is>
          <x:t xml:space="preserve">Villarrica</x:t>
        </x:is>
      </x:c>
      <x:c r="L98" s="9" t="inlineStr">
        <x:is>
          <x:t xml:space="preserve">La Araucanía</x:t>
        </x:is>
      </x:c>
      <x:c r="M98" s="11" t="n">
        <x:v>-39.488489</x:v>
      </x:c>
      <x:c r="N98" s="11" t="n">
        <x:v>-72.539511</x:v>
      </x:c>
      <x:c r="O98" s="10" t="inlineStr">
        <x:is>
          <x:t xml:space="preserve">-39.488489, -72.539511</x:t>
        </x:is>
      </x:c>
      <x:c r="P98" s="9" t="inlineStr">
        <x:is>
          <x:t xml:space="preserve">Habitacional + home office</x:t>
        </x:is>
      </x:c>
      <x:c r="Q98" s="9" t="inlineStr">
        <x:is>
          <x:t xml:space="preserve">Entregado</x:t>
        </x:is>
      </x:c>
      <x:c r="R98" s="9" t="inlineStr">
        <x:is>
          <x:t xml:space="preserve">STEEL_FRAME</x:t>
        </x:is>
      </x:c>
      <x:c r="S98" s="9" t="inlineStr">
        <x:is>
          <x:t xml:space="preserve">TES-0097</x:t>
        </x:is>
      </x:c>
    </x:row>
    <x:row r="99">
      <x:c r="A99" s="9" t="inlineStr">
        <x:is>
          <x:t xml:space="preserve">PRO-0098</x:t>
        </x:is>
      </x:c>
      <x:c r="B99" s="9" t="inlineStr">
        <x:is>
          <x:t xml:space="preserve">EMP-033</x:t>
        </x:is>
      </x:c>
      <x:c r="C99" s="9" t="inlineStr">
        <x:is>
          <x:t xml:space="preserve">MOD-0163</x:t>
        </x:is>
      </x:c>
      <x:c r="D99" s="9" t="inlineStr">
        <x:is>
          <x:t xml:space="preserve">Terraza Ranco 17</x:t>
        </x:is>
      </x:c>
      <x:c r="E99" s="9" t="inlineStr">
        <x:is>
          <x:t xml:space="preserve">Sí</x:t>
        </x:is>
      </x:c>
      <x:c r="F99" s="9" t="inlineStr">
        <x:is>
          <x:t xml:space="preserve">Macarena Alarcón Alarcón</x:t>
        </x:is>
      </x:c>
      <x:c r="G99" s="16" t="n">
        <x:v>44525</x:v>
      </x:c>
      <x:c r="H99" s="12" t="n">
        <x:v>84.90000000000001</x:v>
      </x:c>
      <x:c r="I99" s="9" t="inlineStr">
        <x:is>
          <x:t xml:space="preserve">Camino Parque Industrial Sur 1688</x:t>
        </x:is>
      </x:c>
      <x:c r="J99" s="9" t="inlineStr">
        <x:is>
          <x:t xml:space="preserve">Villarrica</x:t>
        </x:is>
      </x:c>
      <x:c r="K99" s="9" t="inlineStr">
        <x:is>
          <x:t xml:space="preserve">Villarrica</x:t>
        </x:is>
      </x:c>
      <x:c r="L99" s="9" t="inlineStr">
        <x:is>
          <x:t xml:space="preserve">La Araucanía</x:t>
        </x:is>
      </x:c>
      <x:c r="M99" s="11" t="n">
        <x:v>-39.15308</x:v>
      </x:c>
      <x:c r="N99" s="11" t="n">
        <x:v>-72.117632</x:v>
      </x:c>
      <x:c r="O99" s="10" t="inlineStr">
        <x:is>
          <x:t xml:space="preserve">-39.15308, -72.117632</x:t>
        </x:is>
      </x:c>
      <x:c r="P99" s="9" t="inlineStr">
        <x:is>
          <x:t xml:space="preserve">Habitacional + home office</x:t>
        </x:is>
      </x:c>
      <x:c r="Q99" s="9" t="inlineStr">
        <x:is>
          <x:t xml:space="preserve">Entregado</x:t>
        </x:is>
      </x:c>
      <x:c r="R99" s="9" t="inlineStr">
        <x:is>
          <x:t xml:space="preserve">SIP</x:t>
        </x:is>
      </x:c>
      <x:c r="S99" s="9" t="inlineStr">
        <x:is>
          <x:t xml:space="preserve">TES-0098</x:t>
        </x:is>
      </x:c>
    </x:row>
    <x:row r="100">
      <x:c r="A100" s="9" t="inlineStr">
        <x:is>
          <x:t xml:space="preserve">PRO-0099</x:t>
        </x:is>
      </x:c>
      <x:c r="B100" s="9" t="inlineStr">
        <x:is>
          <x:t xml:space="preserve">EMP-033</x:t>
        </x:is>
      </x:c>
      <x:c r="C100" s="9" t="inlineStr">
        <x:is>
          <x:t xml:space="preserve">MOD-0165</x:t>
        </x:is>
      </x:c>
      <x:c r="D100" s="9" t="inlineStr">
        <x:is>
          <x:t xml:space="preserve">Mirador Valdivia 27</x:t>
        </x:is>
      </x:c>
      <x:c r="E100" s="9" t="inlineStr">
        <x:is>
          <x:t xml:space="preserve">Sí</x:t>
        </x:is>
      </x:c>
      <x:c r="F100" s="9" t="inlineStr">
        <x:is>
          <x:t xml:space="preserve">Matías Tapia Contreras</x:t>
        </x:is>
      </x:c>
      <x:c r="G100" s="16" t="n">
        <x:v>44635</x:v>
      </x:c>
      <x:c r="H100" s="12" t="n">
        <x:v>224.6</x:v>
      </x:c>
      <x:c r="I100" s="9" t="inlineStr">
        <x:is>
          <x:t xml:space="preserve">Pasaje Río Claro 1389</x:t>
        </x:is>
      </x:c>
      <x:c r="J100" s="9" t="inlineStr">
        <x:is>
          <x:t xml:space="preserve">Villarrica</x:t>
        </x:is>
      </x:c>
      <x:c r="K100" s="9" t="inlineStr">
        <x:is>
          <x:t xml:space="preserve">Villarrica</x:t>
        </x:is>
      </x:c>
      <x:c r="L100" s="9" t="inlineStr">
        <x:is>
          <x:t xml:space="preserve">La Araucanía</x:t>
        </x:is>
      </x:c>
      <x:c r="M100" s="11" t="n">
        <x:v>-39.103733</x:v>
      </x:c>
      <x:c r="N100" s="11" t="n">
        <x:v>-72.214401</x:v>
      </x:c>
      <x:c r="O100" s="10" t="inlineStr">
        <x:is>
          <x:t xml:space="preserve">-39.103733, -72.214401</x:t>
        </x:is>
      </x:c>
      <x:c r="P100" s="9" t="inlineStr">
        <x:is>
          <x:t xml:space="preserve">Turismo</x:t>
        </x:is>
      </x:c>
      <x:c r="Q100" s="9" t="inlineStr">
        <x:is>
          <x:t xml:space="preserve">Postventa cerrada</x:t>
        </x:is>
      </x:c>
      <x:c r="R100" s="9" t="inlineStr">
        <x:is>
          <x:t xml:space="preserve">STEEL_FRAME</x:t>
        </x:is>
      </x:c>
      <x:c r="S100" s="9" t="inlineStr">
        <x:is>
          <x:t xml:space="preserve">TES-0099</x:t>
        </x:is>
      </x:c>
    </x:row>
    <x:row r="101">
      <x:c r="A101" s="9" t="inlineStr">
        <x:is>
          <x:t xml:space="preserve">PRO-0100</x:t>
        </x:is>
      </x:c>
      <x:c r="B101" s="9" t="inlineStr">
        <x:is>
          <x:t xml:space="preserve">EMP-034</x:t>
        </x:is>
      </x:c>
      <x:c r="C101" s="9" t="inlineStr">
        <x:is>
          <x:t xml:space="preserve">MOD-0167</x:t>
        </x:is>
      </x:c>
      <x:c r="D101" s="9" t="inlineStr">
        <x:is>
          <x:t xml:space="preserve">Casa Licanray 3</x:t>
        </x:is>
      </x:c>
      <x:c r="E101" s="9" t="inlineStr">
        <x:is>
          <x:t xml:space="preserve">Sí</x:t>
        </x:is>
      </x:c>
      <x:c r="F101" s="9" t="inlineStr">
        <x:is>
          <x:t xml:space="preserve">Maximiliano Silva Bahamondes</x:t>
        </x:is>
      </x:c>
      <x:c r="G101" s="16" t="n">
        <x:v>44840</x:v>
      </x:c>
      <x:c r="H101" s="12" t="n">
        <x:v>108.2</x:v>
      </x:c>
      <x:c r="I101" s="9" t="inlineStr">
        <x:is>
          <x:t xml:space="preserve">Los Piedra Azul 600</x:t>
        </x:is>
      </x:c>
      <x:c r="J101" s="9" t="inlineStr">
        <x:is>
          <x:t xml:space="preserve">Valdivia</x:t>
        </x:is>
      </x:c>
      <x:c r="K101" s="9" t="inlineStr">
        <x:is>
          <x:t xml:space="preserve">Valdivia</x:t>
        </x:is>
      </x:c>
      <x:c r="L101" s="9" t="inlineStr">
        <x:is>
          <x:t xml:space="preserve">Los Ríos</x:t>
        </x:is>
      </x:c>
      <x:c r="M101" s="11" t="n">
        <x:v>-40.040806</x:v>
      </x:c>
      <x:c r="N101" s="11" t="n">
        <x:v>-73.563175</x:v>
      </x:c>
      <x:c r="O101" s="10" t="inlineStr">
        <x:is>
          <x:t xml:space="preserve">-40.040806, -73.563175</x:t>
        </x:is>
      </x:c>
      <x:c r="P101" s="9" t="inlineStr">
        <x:is>
          <x:t xml:space="preserve">Turismo</x:t>
        </x:is>
      </x:c>
      <x:c r="Q101" s="9" t="inlineStr">
        <x:is>
          <x:t xml:space="preserve">Postventa cerrada</x:t>
        </x:is>
      </x:c>
      <x:c r="R101" s="9" t="inlineStr">
        <x:is>
          <x:t xml:space="preserve">CONTAINER</x:t>
        </x:is>
      </x:c>
      <x:c r="S101" s="9" t="inlineStr">
        <x:is>
          <x:t xml:space="preserve">TES-0100</x:t>
        </x:is>
      </x:c>
    </x:row>
    <x:row r="102">
      <x:c r="A102" s="9" t="inlineStr">
        <x:is>
          <x:t xml:space="preserve">PRO-0101</x:t>
        </x:is>
      </x:c>
      <x:c r="B102" s="9" t="inlineStr">
        <x:is>
          <x:t xml:space="preserve">EMP-034</x:t>
        </x:is>
      </x:c>
      <x:c r="C102" s="9" t="inlineStr">
        <x:is>
          <x:t xml:space="preserve">MOD-0169</x:t>
        </x:is>
      </x:c>
      <x:c r="D102" s="9" t="inlineStr">
        <x:is>
          <x:t xml:space="preserve">Mirador Calafquén 22</x:t>
        </x:is>
      </x:c>
      <x:c r="E102" s="9" t="inlineStr">
        <x:is>
          <x:t xml:space="preserve">Sí</x:t>
        </x:is>
      </x:c>
      <x:c r="F102" s="9" t="inlineStr">
        <x:is>
          <x:t xml:space="preserve">Javier Herrera Carrasco</x:t>
        </x:is>
      </x:c>
      <x:c r="G102" s="16" t="n">
        <x:v>45604</x:v>
      </x:c>
      <x:c r="H102" s="12" t="n">
        <x:v>155.1</x:v>
      </x:c>
      <x:c r="I102" s="9" t="inlineStr">
        <x:is>
          <x:t xml:space="preserve">Calle Las Bandurrias 396</x:t>
        </x:is>
      </x:c>
      <x:c r="J102" s="9" t="inlineStr">
        <x:is>
          <x:t xml:space="preserve">Valdivia</x:t>
        </x:is>
      </x:c>
      <x:c r="K102" s="9" t="inlineStr">
        <x:is>
          <x:t xml:space="preserve">Valdivia</x:t>
        </x:is>
      </x:c>
      <x:c r="L102" s="9" t="inlineStr">
        <x:is>
          <x:t xml:space="preserve">Los Ríos</x:t>
        </x:is>
      </x:c>
      <x:c r="M102" s="11" t="n">
        <x:v>-39.807258</x:v>
      </x:c>
      <x:c r="N102" s="11" t="n">
        <x:v>-73.270573</x:v>
      </x:c>
      <x:c r="O102" s="10" t="inlineStr">
        <x:is>
          <x:t xml:space="preserve">-39.807258, -73.270573</x:t>
        </x:is>
      </x:c>
      <x:c r="P102" s="9" t="inlineStr">
        <x:is>
          <x:t xml:space="preserve">Turismo</x:t>
        </x:is>
      </x:c>
      <x:c r="Q102" s="9" t="inlineStr">
        <x:is>
          <x:t xml:space="preserve">Entregado</x:t>
        </x:is>
      </x:c>
      <x:c r="R102" s="9" t="inlineStr">
        <x:is>
          <x:t xml:space="preserve">SIP</x:t>
        </x:is>
      </x:c>
      <x:c r="S102" s="9" t="inlineStr">
        <x:is>
          <x:t xml:space="preserve">TES-0101</x:t>
        </x:is>
      </x:c>
    </x:row>
    <x:row r="103">
      <x:c r="A103" s="9" t="inlineStr">
        <x:is>
          <x:t xml:space="preserve">PRO-0102</x:t>
        </x:is>
      </x:c>
      <x:c r="B103" s="9" t="inlineStr">
        <x:is>
          <x:t xml:space="preserve">EMP-034</x:t>
        </x:is>
      </x:c>
      <x:c r="C103" s="9" t="inlineStr">
        <x:is>
          <x:t xml:space="preserve">MOD-0166</x:t>
        </x:is>
      </x:c>
      <x:c r="D103" s="9" t="inlineStr">
        <x:is>
          <x:t xml:space="preserve">Altos de Aysén 12</x:t>
        </x:is>
      </x:c>
      <x:c r="E103" s="9" t="inlineStr">
        <x:is>
          <x:t xml:space="preserve">Sí</x:t>
        </x:is>
      </x:c>
      <x:c r="F103" s="9" t="inlineStr">
        <x:is>
          <x:t xml:space="preserve">Valentina Bustos Cortés</x:t>
        </x:is>
      </x:c>
      <x:c r="G103" s="16" t="n">
        <x:v>45545</x:v>
      </x:c>
      <x:c r="H103" s="12" t="n">
        <x:v>68.5</x:v>
      </x:c>
      <x:c r="I103" s="9" t="inlineStr">
        <x:is>
          <x:t xml:space="preserve">Camino Los Arrayanes 1837</x:t>
        </x:is>
      </x:c>
      <x:c r="J103" s="9" t="inlineStr">
        <x:is>
          <x:t xml:space="preserve">Valdivia</x:t>
        </x:is>
      </x:c>
      <x:c r="K103" s="9" t="inlineStr">
        <x:is>
          <x:t xml:space="preserve">Valdivia</x:t>
        </x:is>
      </x:c>
      <x:c r="L103" s="9" t="inlineStr">
        <x:is>
          <x:t xml:space="preserve">Los Ríos</x:t>
        </x:is>
      </x:c>
      <x:c r="M103" s="11" t="n">
        <x:v>-40.034575</x:v>
      </x:c>
      <x:c r="N103" s="11" t="n">
        <x:v>-73.381946</x:v>
      </x:c>
      <x:c r="O103" s="10" t="inlineStr">
        <x:is>
          <x:t xml:space="preserve">-40.034575, -73.381946</x:t>
        </x:is>
      </x:c>
      <x:c r="P103" s="9" t="inlineStr">
        <x:is>
          <x:t xml:space="preserve">Habitacional + home office</x:t>
        </x:is>
      </x:c>
      <x:c r="Q103" s="9" t="inlineStr">
        <x:is>
          <x:t xml:space="preserve">Entregado</x:t>
        </x:is>
      </x:c>
      <x:c r="R103" s="9" t="inlineStr">
        <x:is>
          <x:t xml:space="preserve">CONTAINER</x:t>
        </x:is>
      </x:c>
      <x:c r="S103" s="9" t="inlineStr">
        <x:is>
          <x:t xml:space="preserve">TES-0102</x:t>
        </x:is>
      </x:c>
    </x:row>
    <x:row r="104">
      <x:c r="A104" s="9" t="inlineStr">
        <x:is>
          <x:t xml:space="preserve">PRO-0103</x:t>
        </x:is>
      </x:c>
      <x:c r="B104" s="9" t="inlineStr">
        <x:is>
          <x:t xml:space="preserve">EMP-035</x:t>
        </x:is>
      </x:c>
      <x:c r="C104" s="9" t="inlineStr">
        <x:is>
          <x:t xml:space="preserve">MOD-0171</x:t>
        </x:is>
      </x:c>
      <x:c r="D104" s="9" t="inlineStr">
        <x:is>
          <x:t xml:space="preserve">Refugio Calafquén 22</x:t>
        </x:is>
      </x:c>
      <x:c r="E104" s="9" t="inlineStr">
        <x:is>
          <x:t xml:space="preserve">Sí</x:t>
        </x:is>
      </x:c>
      <x:c r="F104" s="9" t="inlineStr">
        <x:is>
          <x:t xml:space="preserve">Lucas Escobar Tapia</x:t>
        </x:is>
      </x:c>
      <x:c r="G104" s="16" t="n">
        <x:v>45219</x:v>
      </x:c>
      <x:c r="H104" s="12" t="n">
        <x:v>35.5</x:v>
      </x:c>
      <x:c r="I104" s="9" t="inlineStr">
        <x:is>
          <x:t xml:space="preserve">Calle El Maitén 829</x:t>
        </x:is>
      </x:c>
      <x:c r="J104" s="9" t="inlineStr">
        <x:is>
          <x:t xml:space="preserve">Panguipulli</x:t>
        </x:is>
      </x:c>
      <x:c r="K104" s="9" t="inlineStr">
        <x:is>
          <x:t xml:space="preserve">Panguipulli</x:t>
        </x:is>
      </x:c>
      <x:c r="L104" s="9" t="inlineStr">
        <x:is>
          <x:t xml:space="preserve">Los Ríos</x:t>
        </x:is>
      </x:c>
      <x:c r="M104" s="11" t="n">
        <x:v>-39.530411</x:v>
      </x:c>
      <x:c r="N104" s="11" t="n">
        <x:v>-72.21848300000001</x:v>
      </x:c>
      <x:c r="O104" s="10" t="inlineStr">
        <x:is>
          <x:t xml:space="preserve">-39.530411, -72.218483</x:t>
        </x:is>
      </x:c>
      <x:c r="P104" s="9" t="inlineStr">
        <x:is>
          <x:t xml:space="preserve">Parcela</x:t>
        </x:is>
      </x:c>
      <x:c r="Q104" s="9" t="inlineStr">
        <x:is>
          <x:t xml:space="preserve">Postventa cerrada</x:t>
        </x:is>
      </x:c>
      <x:c r="R104" s="9" t="inlineStr">
        <x:is>
          <x:t xml:space="preserve">STEEL_FRAME</x:t>
        </x:is>
      </x:c>
      <x:c r="S104" s="9" t="inlineStr">
        <x:is>
          <x:t xml:space="preserve">TES-0103</x:t>
        </x:is>
      </x:c>
    </x:row>
    <x:row r="105">
      <x:c r="A105" s="9" t="inlineStr">
        <x:is>
          <x:t xml:space="preserve">PRO-0104</x:t>
        </x:is>
      </x:c>
      <x:c r="B105" s="9" t="inlineStr">
        <x:is>
          <x:t xml:space="preserve">EMP-035</x:t>
        </x:is>
      </x:c>
      <x:c r="C105" s="9" t="inlineStr">
        <x:is>
          <x:t xml:space="preserve">MOD-0172</x:t>
        </x:is>
      </x:c>
      <x:c r="D105" s="9" t="inlineStr">
        <x:is>
          <x:t xml:space="preserve">Parcela Aysén 16</x:t>
        </x:is>
      </x:c>
      <x:c r="E105" s="9" t="inlineStr">
        <x:is>
          <x:t xml:space="preserve">Sí</x:t>
        </x:is>
      </x:c>
      <x:c r="F105" s="9" t="inlineStr">
        <x:is>
          <x:t xml:space="preserve">Paz Jara Contreras</x:t>
        </x:is>
      </x:c>
      <x:c r="G105" s="16" t="n">
        <x:v>44447</x:v>
      </x:c>
      <x:c r="H105" s="12" t="n">
        <x:v>70.7</x:v>
      </x:c>
      <x:c r="I105" s="9" t="inlineStr">
        <x:is>
          <x:t xml:space="preserve">Pasaje Los Carpinteros 213</x:t>
        </x:is>
      </x:c>
      <x:c r="J105" s="9" t="inlineStr">
        <x:is>
          <x:t xml:space="preserve">Panguipulli</x:t>
        </x:is>
      </x:c>
      <x:c r="K105" s="9" t="inlineStr">
        <x:is>
          <x:t xml:space="preserve">Panguipulli</x:t>
        </x:is>
      </x:c>
      <x:c r="L105" s="9" t="inlineStr">
        <x:is>
          <x:t xml:space="preserve">Los Ríos</x:t>
        </x:is>
      </x:c>
      <x:c r="M105" s="11" t="n">
        <x:v>-39.681765</x:v>
      </x:c>
      <x:c r="N105" s="11" t="n">
        <x:v>-72.18596599999999</x:v>
      </x:c>
      <x:c r="O105" s="10" t="inlineStr">
        <x:is>
          <x:t xml:space="preserve">-39.681765, -72.185966</x:t>
        </x:is>
      </x:c>
      <x:c r="P105" s="9" t="inlineStr">
        <x:is>
          <x:t xml:space="preserve">Habitacional</x:t>
        </x:is>
      </x:c>
      <x:c r="Q105" s="9" t="inlineStr">
        <x:is>
          <x:t xml:space="preserve">Entregado</x:t>
        </x:is>
      </x:c>
      <x:c r="R105" s="9" t="inlineStr">
        <x:is>
          <x:t xml:space="preserve">STEEL_FRAME</x:t>
        </x:is>
      </x:c>
      <x:c r="S105" s="9" t="inlineStr">
        <x:is>
          <x:t xml:space="preserve">TES-0104</x:t>
        </x:is>
      </x:c>
    </x:row>
    <x:row r="106">
      <x:c r="A106" s="9" t="inlineStr">
        <x:is>
          <x:t xml:space="preserve">PRO-0105</x:t>
        </x:is>
      </x:c>
      <x:c r="B106" s="9" t="inlineStr">
        <x:is>
          <x:t xml:space="preserve">EMP-035</x:t>
        </x:is>
      </x:c>
      <x:c r="C106" s="9" t="inlineStr">
        <x:is>
          <x:t xml:space="preserve">MOD-0173</x:t>
        </x:is>
      </x:c>
      <x:c r="D106" s="9" t="inlineStr">
        <x:is>
          <x:t xml:space="preserve">Loteo Calafquén 16</x:t>
        </x:is>
      </x:c>
      <x:c r="E106" s="9" t="inlineStr">
        <x:is>
          <x:t xml:space="preserve">Sí</x:t>
        </x:is>
      </x:c>
      <x:c r="F106" s="9" t="inlineStr">
        <x:is>
          <x:t xml:space="preserve">Ignacia Carrasco Acuña</x:t>
        </x:is>
      </x:c>
      <x:c r="G106" s="16" t="n">
        <x:v>45473</x:v>
      </x:c>
      <x:c r="H106" s="12" t="n">
        <x:v>84.7</x:v>
      </x:c>
      <x:c r="I106" s="9" t="inlineStr">
        <x:is>
          <x:t xml:space="preserve">Sendero Río Claro 423</x:t>
        </x:is>
      </x:c>
      <x:c r="J106" s="9" t="inlineStr">
        <x:is>
          <x:t xml:space="preserve">Panguipulli</x:t>
        </x:is>
      </x:c>
      <x:c r="K106" s="9" t="inlineStr">
        <x:is>
          <x:t xml:space="preserve">Panguipulli</x:t>
        </x:is>
      </x:c>
      <x:c r="L106" s="9" t="inlineStr">
        <x:is>
          <x:t xml:space="preserve">Los Ríos</x:t>
        </x:is>
      </x:c>
      <x:c r="M106" s="11" t="n">
        <x:v>-39.976295</x:v>
      </x:c>
      <x:c r="N106" s="11" t="n">
        <x:v>-72.099699</x:v>
      </x:c>
      <x:c r="O106" s="10" t="inlineStr">
        <x:is>
          <x:t xml:space="preserve">-39.976295, -72.099699</x:t>
        </x:is>
      </x:c>
      <x:c r="P106" s="9" t="inlineStr">
        <x:is>
          <x:t xml:space="preserve">Parcela</x:t>
        </x:is>
      </x:c>
      <x:c r="Q106" s="9" t="inlineStr">
        <x:is>
          <x:t xml:space="preserve">Entregado</x:t>
        </x:is>
      </x:c>
      <x:c r="R106" s="9" t="inlineStr">
        <x:is>
          <x:t xml:space="preserve">SIP</x:t>
        </x:is>
      </x:c>
      <x:c r="S106" s="9" t="inlineStr">
        <x:is>
          <x:t xml:space="preserve">TES-0105</x:t>
        </x:is>
      </x:c>
    </x:row>
    <x:row r="107">
      <x:c r="A107" s="9" t="inlineStr">
        <x:is>
          <x:t xml:space="preserve">PRO-0106</x:t>
        </x:is>
      </x:c>
      <x:c r="B107" s="9" t="inlineStr">
        <x:is>
          <x:t xml:space="preserve">EMP-036</x:t>
        </x:is>
      </x:c>
      <x:c r="C107" s="9" t="inlineStr">
        <x:is>
          <x:t xml:space="preserve">MOD-0180</x:t>
        </x:is>
      </x:c>
      <x:c r="D107" s="9" t="inlineStr">
        <x:is>
          <x:t xml:space="preserve">Bosques de Natales 15</x:t>
        </x:is>
      </x:c>
      <x:c r="E107" s="9" t="inlineStr">
        <x:is>
          <x:t xml:space="preserve">Sí</x:t>
        </x:is>
      </x:c>
      <x:c r="F107" s="9" t="inlineStr">
        <x:is>
          <x:t xml:space="preserve">Rodrigo González Bahamondes</x:t>
        </x:is>
      </x:c>
      <x:c r="G107" s="16" t="n">
        <x:v>44261</x:v>
      </x:c>
      <x:c r="H107" s="12" t="n">
        <x:v>207.1</x:v>
      </x:c>
      <x:c r="I107" s="9" t="inlineStr">
        <x:is>
          <x:t xml:space="preserve">Sendero Los Volcanes 1756</x:t>
        </x:is>
      </x:c>
      <x:c r="J107" s="9" t="inlineStr">
        <x:is>
          <x:t xml:space="preserve">La Unión</x:t>
        </x:is>
      </x:c>
      <x:c r="K107" s="9" t="inlineStr">
        <x:is>
          <x:t xml:space="preserve">La Unión</x:t>
        </x:is>
      </x:c>
      <x:c r="L107" s="9" t="inlineStr">
        <x:is>
          <x:t xml:space="preserve">Los Ríos</x:t>
        </x:is>
      </x:c>
      <x:c r="M107" s="11" t="n">
        <x:v>-40.053458</x:v>
      </x:c>
      <x:c r="N107" s="11" t="n">
        <x:v>-73.28865500000001</x:v>
      </x:c>
      <x:c r="O107" s="10" t="inlineStr">
        <x:is>
          <x:t xml:space="preserve">-40.053458, -73.288655</x:t>
        </x:is>
      </x:c>
      <x:c r="P107" s="9" t="inlineStr">
        <x:is>
          <x:t xml:space="preserve">Habitacional</x:t>
        </x:is>
      </x:c>
      <x:c r="Q107" s="9" t="inlineStr">
        <x:is>
          <x:t xml:space="preserve">Entregado</x:t>
        </x:is>
      </x:c>
      <x:c r="R107" s="9" t="inlineStr">
        <x:is>
          <x:t xml:space="preserve">HYBRID_MODULAR</x:t>
        </x:is>
      </x:c>
      <x:c r="S107" s="9" t="inlineStr">
        <x:is>
          <x:t xml:space="preserve">TES-0106</x:t>
        </x:is>
      </x:c>
    </x:row>
    <x:row r="108">
      <x:c r="A108" s="9" t="inlineStr">
        <x:is>
          <x:t xml:space="preserve">PRO-0107</x:t>
        </x:is>
      </x:c>
      <x:c r="B108" s="9" t="inlineStr">
        <x:is>
          <x:t xml:space="preserve">EMP-036</x:t>
        </x:is>
      </x:c>
      <x:c r="C108" s="9" t="inlineStr">
        <x:is>
          <x:t xml:space="preserve">MOD-0178</x:t>
        </x:is>
      </x:c>
      <x:c r="D108" s="9" t="inlineStr">
        <x:is>
          <x:t xml:space="preserve">Vista Pelluhue 22</x:t>
        </x:is>
      </x:c>
      <x:c r="E108" s="9" t="inlineStr">
        <x:is>
          <x:t xml:space="preserve">Sí</x:t>
        </x:is>
      </x:c>
      <x:c r="F108" s="9" t="inlineStr">
        <x:is>
          <x:t xml:space="preserve">Claudia Araya Reyes</x:t>
        </x:is>
      </x:c>
      <x:c r="G108" s="16" t="n">
        <x:v>45079</x:v>
      </x:c>
      <x:c r="H108" s="12" t="n">
        <x:v>69.7</x:v>
      </x:c>
      <x:c r="I108" s="9" t="inlineStr">
        <x:is>
          <x:t xml:space="preserve">Camino Los Tijerales 1392</x:t>
        </x:is>
      </x:c>
      <x:c r="J108" s="9" t="inlineStr">
        <x:is>
          <x:t xml:space="preserve">La Unión</x:t>
        </x:is>
      </x:c>
      <x:c r="K108" s="9" t="inlineStr">
        <x:is>
          <x:t xml:space="preserve">La Unión</x:t>
        </x:is>
      </x:c>
      <x:c r="L108" s="9" t="inlineStr">
        <x:is>
          <x:t xml:space="preserve">Los Ríos</x:t>
        </x:is>
      </x:c>
      <x:c r="M108" s="11" t="n">
        <x:v>-40.16854</x:v>
      </x:c>
      <x:c r="N108" s="11" t="n">
        <x:v>-73.03083100000001</x:v>
      </x:c>
      <x:c r="O108" s="10" t="inlineStr">
        <x:is>
          <x:t xml:space="preserve">-40.16854, -73.030831</x:t>
        </x:is>
      </x:c>
      <x:c r="P108" s="9" t="inlineStr">
        <x:is>
          <x:t xml:space="preserve">Parcela</x:t>
        </x:is>
      </x:c>
      <x:c r="Q108" s="9" t="inlineStr">
        <x:is>
          <x:t xml:space="preserve">Postventa cerrada</x:t>
        </x:is>
      </x:c>
      <x:c r="R108" s="9" t="inlineStr">
        <x:is>
          <x:t xml:space="preserve">MODULAR_TIMBER</x:t>
        </x:is>
      </x:c>
      <x:c r="S108" s="9" t="inlineStr">
        <x:is>
          <x:t xml:space="preserve">TES-0107</x:t>
        </x:is>
      </x:c>
    </x:row>
    <x:row r="109">
      <x:c r="A109" s="9" t="inlineStr">
        <x:is>
          <x:t xml:space="preserve">PRO-0108</x:t>
        </x:is>
      </x:c>
      <x:c r="B109" s="9" t="inlineStr">
        <x:is>
          <x:t xml:space="preserve">EMP-036</x:t>
        </x:is>
      </x:c>
      <x:c r="C109" s="9" t="inlineStr">
        <x:is>
          <x:t xml:space="preserve">MOD-0180</x:t>
        </x:is>
      </x:c>
      <x:c r="D109" s="9" t="inlineStr">
        <x:is>
          <x:t xml:space="preserve">Parcela Cautín 2</x:t>
        </x:is>
      </x:c>
      <x:c r="E109" s="9" t="inlineStr">
        <x:is>
          <x:t xml:space="preserve">Sí</x:t>
        </x:is>
      </x:c>
      <x:c r="F109" s="9" t="inlineStr">
        <x:is>
          <x:t xml:space="preserve">Josefa Leiva Navarro</x:t>
        </x:is>
      </x:c>
      <x:c r="G109" s="16" t="n">
        <x:v>45210</x:v>
      </x:c>
      <x:c r="H109" s="12" t="n">
        <x:v>197.2</x:v>
      </x:c>
      <x:c r="I109" s="9" t="inlineStr">
        <x:is>
          <x:t xml:space="preserve">Calle Los Volcanes 135</x:t>
        </x:is>
      </x:c>
      <x:c r="J109" s="9" t="inlineStr">
        <x:is>
          <x:t xml:space="preserve">La Unión</x:t>
        </x:is>
      </x:c>
      <x:c r="K109" s="9" t="inlineStr">
        <x:is>
          <x:t xml:space="preserve">La Unión</x:t>
        </x:is>
      </x:c>
      <x:c r="L109" s="9" t="inlineStr">
        <x:is>
          <x:t xml:space="preserve">Los Ríos</x:t>
        </x:is>
      </x:c>
      <x:c r="M109" s="11" t="n">
        <x:v>-40.405088</x:v>
      </x:c>
      <x:c r="N109" s="11" t="n">
        <x:v>-72.89850800000001</x:v>
      </x:c>
      <x:c r="O109" s="10" t="inlineStr">
        <x:is>
          <x:t xml:space="preserve">-40.405088, -72.898508</x:t>
        </x:is>
      </x:c>
      <x:c r="P109" s="9" t="inlineStr">
        <x:is>
          <x:t xml:space="preserve">Habitacional + home office</x:t>
        </x:is>
      </x:c>
      <x:c r="Q109" s="9" t="inlineStr">
        <x:is>
          <x:t xml:space="preserve">Entregado</x:t>
        </x:is>
      </x:c>
      <x:c r="R109" s="9" t="inlineStr">
        <x:is>
          <x:t xml:space="preserve">HYBRID_MODULAR</x:t>
        </x:is>
      </x:c>
      <x:c r="S109" s="9" t="inlineStr">
        <x:is>
          <x:t xml:space="preserve">TES-0108</x:t>
        </x:is>
      </x:c>
    </x:row>
    <x:row r="110">
      <x:c r="A110" s="9" t="inlineStr">
        <x:is>
          <x:t xml:space="preserve">PRO-0109</x:t>
        </x:is>
      </x:c>
      <x:c r="B110" s="9" t="inlineStr">
        <x:is>
          <x:t xml:space="preserve">EMP-037</x:t>
        </x:is>
      </x:c>
      <x:c r="C110" s="9" t="inlineStr">
        <x:is>
          <x:t xml:space="preserve">MOD-0181</x:t>
        </x:is>
      </x:c>
      <x:c r="D110" s="9" t="inlineStr">
        <x:is>
          <x:t xml:space="preserve">Condominio Pucón 8</x:t>
        </x:is>
      </x:c>
      <x:c r="E110" s="9" t="inlineStr">
        <x:is>
          <x:t xml:space="preserve">Sí</x:t>
        </x:is>
      </x:c>
      <x:c r="F110" s="9" t="inlineStr">
        <x:is>
          <x:t xml:space="preserve">Esteban Orellana Saavedra</x:t>
        </x:is>
      </x:c>
      <x:c r="G110" s="16" t="n">
        <x:v>44976</x:v>
      </x:c>
      <x:c r="H110" s="12" t="n">
        <x:v>52</x:v>
      </x:c>
      <x:c r="I110" s="9" t="inlineStr">
        <x:is>
          <x:t xml:space="preserve">Los Taller del Pacífico 1364</x:t>
        </x:is>
      </x:c>
      <x:c r="J110" s="9" t="inlineStr">
        <x:is>
          <x:t xml:space="preserve">Osorno</x:t>
        </x:is>
      </x:c>
      <x:c r="K110" s="9" t="inlineStr">
        <x:is>
          <x:t xml:space="preserve">Osorno</x:t>
        </x:is>
      </x:c>
      <x:c r="L110" s="9" t="inlineStr">
        <x:is>
          <x:t xml:space="preserve">Los Lagos</x:t>
        </x:is>
      </x:c>
      <x:c r="M110" s="11" t="n">
        <x:v>-40.690592</x:v>
      </x:c>
      <x:c r="N110" s="11" t="n">
        <x:v>-73.310585</x:v>
      </x:c>
      <x:c r="O110" s="10" t="inlineStr">
        <x:is>
          <x:t xml:space="preserve">-40.690592, -73.310585</x:t>
        </x:is>
      </x:c>
      <x:c r="P110" s="9" t="inlineStr">
        <x:is>
          <x:t xml:space="preserve">Turismo</x:t>
        </x:is>
      </x:c>
      <x:c r="Q110" s="9" t="inlineStr">
        <x:is>
          <x:t xml:space="preserve">Entregado</x:t>
        </x:is>
      </x:c>
      <x:c r="R110" s="9" t="inlineStr">
        <x:is>
          <x:t xml:space="preserve">SIP</x:t>
        </x:is>
      </x:c>
      <x:c r="S110" s="9" t="inlineStr">
        <x:is>
          <x:t xml:space="preserve">TES-0109</x:t>
        </x:is>
      </x:c>
    </x:row>
    <x:row r="111">
      <x:c r="A111" s="9" t="inlineStr">
        <x:is>
          <x:t xml:space="preserve">PRO-0110</x:t>
        </x:is>
      </x:c>
      <x:c r="B111" s="9" t="inlineStr">
        <x:is>
          <x:t xml:space="preserve">EMP-037</x:t>
        </x:is>
      </x:c>
      <x:c r="C111" s="9" t="inlineStr">
        <x:is>
          <x:t xml:space="preserve">MOD-0183</x:t>
        </x:is>
      </x:c>
      <x:c r="D111" s="9" t="inlineStr">
        <x:is>
          <x:t xml:space="preserve">Vista Cautín 1</x:t>
        </x:is>
      </x:c>
      <x:c r="E111" s="9" t="inlineStr">
        <x:is>
          <x:t xml:space="preserve">Sí</x:t>
        </x:is>
      </x:c>
      <x:c r="F111" s="9" t="inlineStr">
        <x:is>
          <x:t xml:space="preserve">Joaquín González Peña</x:t>
        </x:is>
      </x:c>
      <x:c r="G111" s="16" t="n">
        <x:v>44864</x:v>
      </x:c>
      <x:c r="H111" s="12" t="n">
        <x:v>99.3</x:v>
      </x:c>
      <x:c r="I111" s="9" t="inlineStr">
        <x:is>
          <x:t xml:space="preserve">Parque Los Rieles 51</x:t>
        </x:is>
      </x:c>
      <x:c r="J111" s="9" t="inlineStr">
        <x:is>
          <x:t xml:space="preserve">Osorno</x:t>
        </x:is>
      </x:c>
      <x:c r="K111" s="9" t="inlineStr">
        <x:is>
          <x:t xml:space="preserve">Osorno</x:t>
        </x:is>
      </x:c>
      <x:c r="L111" s="9" t="inlineStr">
        <x:is>
          <x:t xml:space="preserve">Los Lagos</x:t>
        </x:is>
      </x:c>
      <x:c r="M111" s="11" t="n">
        <x:v>-40.471755</x:v>
      </x:c>
      <x:c r="N111" s="11" t="n">
        <x:v>-73.26501</x:v>
      </x:c>
      <x:c r="O111" s="10" t="inlineStr">
        <x:is>
          <x:t xml:space="preserve">-40.471755, -73.26501</x:t>
        </x:is>
      </x:c>
      <x:c r="P111" s="9" t="inlineStr">
        <x:is>
          <x:t xml:space="preserve">Turismo</x:t>
        </x:is>
      </x:c>
      <x:c r="Q111" s="9" t="inlineStr">
        <x:is>
          <x:t xml:space="preserve">Postventa cerrada</x:t>
        </x:is>
      </x:c>
      <x:c r="R111" s="9" t="inlineStr">
        <x:is>
          <x:t xml:space="preserve">SIP</x:t>
        </x:is>
      </x:c>
      <x:c r="S111" s="9" t="inlineStr">
        <x:is>
          <x:t xml:space="preserve">TES-0110</x:t>
        </x:is>
      </x:c>
    </x:row>
    <x:row r="112">
      <x:c r="A112" s="9" t="inlineStr">
        <x:is>
          <x:t xml:space="preserve">PRO-0111</x:t>
        </x:is>
      </x:c>
      <x:c r="B112" s="9" t="inlineStr">
        <x:is>
          <x:t xml:space="preserve">EMP-037</x:t>
        </x:is>
      </x:c>
      <x:c r="C112" s="9" t="inlineStr">
        <x:is>
          <x:t xml:space="preserve">MOD-0185</x:t>
        </x:is>
      </x:c>
      <x:c r="D112" s="9" t="inlineStr">
        <x:is>
          <x:t xml:space="preserve">Loteo Elqui 14</x:t>
        </x:is>
      </x:c>
      <x:c r="E112" s="9" t="inlineStr">
        <x:is>
          <x:t xml:space="preserve">Sí</x:t>
        </x:is>
      </x:c>
      <x:c r="F112" s="9" t="inlineStr">
        <x:is>
          <x:t xml:space="preserve">Tomás Reyes Contreras</x:t>
        </x:is>
      </x:c>
      <x:c r="G112" s="16" t="n">
        <x:v>45611</x:v>
      </x:c>
      <x:c r="H112" s="12" t="n">
        <x:v>182.6</x:v>
      </x:c>
      <x:c r="I112" s="9" t="inlineStr">
        <x:is>
          <x:t xml:space="preserve">Los Los Coigües 1269</x:t>
        </x:is>
      </x:c>
      <x:c r="J112" s="9" t="inlineStr">
        <x:is>
          <x:t xml:space="preserve">Osorno</x:t>
        </x:is>
      </x:c>
      <x:c r="K112" s="9" t="inlineStr">
        <x:is>
          <x:t xml:space="preserve">Osorno</x:t>
        </x:is>
      </x:c>
      <x:c r="L112" s="9" t="inlineStr">
        <x:is>
          <x:t xml:space="preserve">Los Lagos</x:t>
        </x:is>
      </x:c>
      <x:c r="M112" s="11" t="n">
        <x:v>-40.697015</x:v>
      </x:c>
      <x:c r="N112" s="11" t="n">
        <x:v>-73.208803</x:v>
      </x:c>
      <x:c r="O112" s="10" t="inlineStr">
        <x:is>
          <x:t xml:space="preserve">-40.697015, -73.208803</x:t>
        </x:is>
      </x:c>
      <x:c r="P112" s="9" t="inlineStr">
        <x:is>
          <x:t xml:space="preserve">Habitacional + home office</x:t>
        </x:is>
      </x:c>
      <x:c r="Q112" s="9" t="inlineStr">
        <x:is>
          <x:t xml:space="preserve">Postventa cerrada</x:t>
        </x:is>
      </x:c>
      <x:c r="R112" s="9" t="inlineStr">
        <x:is>
          <x:t xml:space="preserve">HYBRID_MODULAR</x:t>
        </x:is>
      </x:c>
      <x:c r="S112" s="9" t="inlineStr">
        <x:is>
          <x:t xml:space="preserve">TES-0111</x:t>
        </x:is>
      </x:c>
    </x:row>
    <x:row r="113">
      <x:c r="A113" s="9" t="inlineStr">
        <x:is>
          <x:t xml:space="preserve">PRO-0112</x:t>
        </x:is>
      </x:c>
      <x:c r="B113" s="9" t="inlineStr">
        <x:is>
          <x:t xml:space="preserve">EMP-038</x:t>
        </x:is>
      </x:c>
      <x:c r="C113" s="9" t="inlineStr">
        <x:is>
          <x:t xml:space="preserve">MOD-0188</x:t>
        </x:is>
      </x:c>
      <x:c r="D113" s="9" t="inlineStr">
        <x:is>
          <x:t xml:space="preserve">Terraza Maipo 19</x:t>
        </x:is>
      </x:c>
      <x:c r="E113" s="9" t="inlineStr">
        <x:is>
          <x:t xml:space="preserve">Sí</x:t>
        </x:is>
      </x:c>
      <x:c r="F113" s="9" t="inlineStr">
        <x:is>
          <x:t xml:space="preserve">Agustín Muñoz Carrasco</x:t>
        </x:is>
      </x:c>
      <x:c r="G113" s="16" t="n">
        <x:v>45371</x:v>
      </x:c>
      <x:c r="H113" s="12" t="n">
        <x:v>80.2</x:v>
      </x:c>
      <x:c r="I113" s="9" t="inlineStr">
        <x:is>
          <x:t xml:space="preserve">Camino Piedra Azul 1738</x:t>
        </x:is>
      </x:c>
      <x:c r="J113" s="9" t="inlineStr">
        <x:is>
          <x:t xml:space="preserve">Puerto Varas</x:t>
        </x:is>
      </x:c>
      <x:c r="K113" s="9" t="inlineStr">
        <x:is>
          <x:t xml:space="preserve">Puerto Varas</x:t>
        </x:is>
      </x:c>
      <x:c r="L113" s="9" t="inlineStr">
        <x:is>
          <x:t xml:space="preserve">Los Lagos</x:t>
        </x:is>
      </x:c>
      <x:c r="M113" s="11" t="n">
        <x:v>-41.535953</x:v>
      </x:c>
      <x:c r="N113" s="11" t="n">
        <x:v>-72.783421</x:v>
      </x:c>
      <x:c r="O113" s="10" t="inlineStr">
        <x:is>
          <x:t xml:space="preserve">-41.535953, -72.783421</x:t>
        </x:is>
      </x:c>
      <x:c r="P113" s="9" t="inlineStr">
        <x:is>
          <x:t xml:space="preserve">Turismo</x:t>
        </x:is>
      </x:c>
      <x:c r="Q113" s="9" t="inlineStr">
        <x:is>
          <x:t xml:space="preserve">Entregado</x:t>
        </x:is>
      </x:c>
      <x:c r="R113" s="9" t="inlineStr">
        <x:is>
          <x:t xml:space="preserve">SIP</x:t>
        </x:is>
      </x:c>
      <x:c r="S113" s="9" t="inlineStr">
        <x:is>
          <x:t xml:space="preserve">TES-0112</x:t>
        </x:is>
      </x:c>
    </x:row>
    <x:row r="114">
      <x:c r="A114" s="9" t="inlineStr">
        <x:is>
          <x:t xml:space="preserve">PRO-0113</x:t>
        </x:is>
      </x:c>
      <x:c r="B114" s="9" t="inlineStr">
        <x:is>
          <x:t xml:space="preserve">EMP-038</x:t>
        </x:is>
      </x:c>
      <x:c r="C114" s="9" t="inlineStr">
        <x:is>
          <x:t xml:space="preserve">MOD-0190</x:t>
        </x:is>
      </x:c>
      <x:c r="D114" s="9" t="inlineStr">
        <x:is>
          <x:t xml:space="preserve">Casa Lonquimay 7</x:t>
        </x:is>
      </x:c>
      <x:c r="E114" s="9" t="inlineStr">
        <x:is>
          <x:t xml:space="preserve">Sí</x:t>
        </x:is>
      </x:c>
      <x:c r="F114" s="9" t="inlineStr">
        <x:is>
          <x:t xml:space="preserve">Diego Escobar Vera</x:t>
        </x:is>
      </x:c>
      <x:c r="G114" s="16" t="n">
        <x:v>44908</x:v>
      </x:c>
      <x:c r="H114" s="12" t="n">
        <x:v>221.2</x:v>
      </x:c>
      <x:c r="I114" s="9" t="inlineStr">
        <x:is>
          <x:t xml:space="preserve">Calle Las Bandurrias 1368</x:t>
        </x:is>
      </x:c>
      <x:c r="J114" s="9" t="inlineStr">
        <x:is>
          <x:t xml:space="preserve">Puerto Varas</x:t>
        </x:is>
      </x:c>
      <x:c r="K114" s="9" t="inlineStr">
        <x:is>
          <x:t xml:space="preserve">Puerto Varas</x:t>
        </x:is>
      </x:c>
      <x:c r="L114" s="9" t="inlineStr">
        <x:is>
          <x:t xml:space="preserve">Los Lagos</x:t>
        </x:is>
      </x:c>
      <x:c r="M114" s="11" t="n">
        <x:v>-41.237997</x:v>
      </x:c>
      <x:c r="N114" s="11" t="n">
        <x:v>-73.09215</x:v>
      </x:c>
      <x:c r="O114" s="10" t="inlineStr">
        <x:is>
          <x:t xml:space="preserve">-41.237997, -73.09215</x:t>
        </x:is>
      </x:c>
      <x:c r="P114" s="9" t="inlineStr">
        <x:is>
          <x:t xml:space="preserve">Segunda vivienda</x:t>
        </x:is>
      </x:c>
      <x:c r="Q114" s="9" t="inlineStr">
        <x:is>
          <x:t xml:space="preserve">Postventa cerrada</x:t>
        </x:is>
      </x:c>
      <x:c r="R114" s="9" t="inlineStr">
        <x:is>
          <x:t xml:space="preserve">STEEL_FRAME</x:t>
        </x:is>
      </x:c>
      <x:c r="S114" s="9" t="inlineStr">
        <x:is>
          <x:t xml:space="preserve">TES-0113</x:t>
        </x:is>
      </x:c>
    </x:row>
    <x:row r="115">
      <x:c r="A115" s="9" t="inlineStr">
        <x:is>
          <x:t xml:space="preserve">PRO-0114</x:t>
        </x:is>
      </x:c>
      <x:c r="B115" s="9" t="inlineStr">
        <x:is>
          <x:t xml:space="preserve">EMP-038</x:t>
        </x:is>
      </x:c>
      <x:c r="C115" s="9" t="inlineStr">
        <x:is>
          <x:t xml:space="preserve">MOD-0189</x:t>
        </x:is>
      </x:c>
      <x:c r="D115" s="9" t="inlineStr">
        <x:is>
          <x:t xml:space="preserve">Condominio Natales 9</x:t>
        </x:is>
      </x:c>
      <x:c r="E115" s="9" t="inlineStr">
        <x:is>
          <x:t xml:space="preserve">Sí</x:t>
        </x:is>
      </x:c>
      <x:c r="F115" s="9" t="inlineStr">
        <x:is>
          <x:t xml:space="preserve">Gonzalo Bahamondes Ramírez</x:t>
        </x:is>
      </x:c>
      <x:c r="G115" s="16" t="n">
        <x:v>44566</x:v>
      </x:c>
      <x:c r="H115" s="12" t="n">
        <x:v>127.7</x:v>
      </x:c>
      <x:c r="I115" s="9" t="inlineStr">
        <x:is>
          <x:t xml:space="preserve">Pasaje Los Tijerales 1032</x:t>
        </x:is>
      </x:c>
      <x:c r="J115" s="9" t="inlineStr">
        <x:is>
          <x:t xml:space="preserve">Puerto Varas</x:t>
        </x:is>
      </x:c>
      <x:c r="K115" s="9" t="inlineStr">
        <x:is>
          <x:t xml:space="preserve">Puerto Varas</x:t>
        </x:is>
      </x:c>
      <x:c r="L115" s="9" t="inlineStr">
        <x:is>
          <x:t xml:space="preserve">Los Lagos</x:t>
        </x:is>
      </x:c>
      <x:c r="M115" s="11" t="n">
        <x:v>-41.254582</x:v>
      </x:c>
      <x:c r="N115" s="11" t="n">
        <x:v>-72.942086</x:v>
      </x:c>
      <x:c r="O115" s="10" t="inlineStr">
        <x:is>
          <x:t xml:space="preserve">-41.254582, -72.942086</x:t>
        </x:is>
      </x:c>
      <x:c r="P115" s="9" t="inlineStr">
        <x:is>
          <x:t xml:space="preserve">Parcela</x:t>
        </x:is>
      </x:c>
      <x:c r="Q115" s="9" t="inlineStr">
        <x:is>
          <x:t xml:space="preserve">Postventa cerrada</x:t>
        </x:is>
      </x:c>
      <x:c r="R115" s="9" t="inlineStr">
        <x:is>
          <x:t xml:space="preserve">HYBRID_MODULAR</x:t>
        </x:is>
      </x:c>
      <x:c r="S115" s="9" t="inlineStr">
        <x:is>
          <x:t xml:space="preserve">TES-0114</x:t>
        </x:is>
      </x:c>
    </x:row>
    <x:row r="116">
      <x:c r="A116" s="9" t="inlineStr">
        <x:is>
          <x:t xml:space="preserve">PRO-0115</x:t>
        </x:is>
      </x:c>
      <x:c r="B116" s="9" t="inlineStr">
        <x:is>
          <x:t xml:space="preserve">EMP-039</x:t>
        </x:is>
      </x:c>
      <x:c r="C116" s="9" t="inlineStr">
        <x:is>
          <x:t xml:space="preserve">MOD-0191</x:t>
        </x:is>
      </x:c>
      <x:c r="D116" s="9" t="inlineStr">
        <x:is>
          <x:t xml:space="preserve">Refugio Aysén 21</x:t>
        </x:is>
      </x:c>
      <x:c r="E116" s="9" t="inlineStr">
        <x:is>
          <x:t xml:space="preserve">Sí</x:t>
        </x:is>
      </x:c>
      <x:c r="F116" s="9" t="inlineStr">
        <x:is>
          <x:t xml:space="preserve">Constanza Molina Morales</x:t>
        </x:is>
      </x:c>
      <x:c r="G116" s="16" t="n">
        <x:v>45144</x:v>
      </x:c>
      <x:c r="H116" s="12" t="n">
        <x:v>64</x:v>
      </x:c>
      <x:c r="I116" s="9" t="inlineStr">
        <x:is>
          <x:t xml:space="preserve">Calle Las Bandurrias 850</x:t>
        </x:is>
      </x:c>
      <x:c r="J116" s="9" t="inlineStr">
        <x:is>
          <x:t xml:space="preserve">Puerto Montt</x:t>
        </x:is>
      </x:c>
      <x:c r="K116" s="9" t="inlineStr">
        <x:is>
          <x:t xml:space="preserve">Puerto Montt</x:t>
        </x:is>
      </x:c>
      <x:c r="L116" s="9" t="inlineStr">
        <x:is>
          <x:t xml:space="preserve">Los Lagos</x:t>
        </x:is>
      </x:c>
      <x:c r="M116" s="11" t="n">
        <x:v>-41.749729</x:v>
      </x:c>
      <x:c r="N116" s="11" t="n">
        <x:v>-72.798351</x:v>
      </x:c>
      <x:c r="O116" s="10" t="inlineStr">
        <x:is>
          <x:t xml:space="preserve">-41.749729, -72.798351</x:t>
        </x:is>
      </x:c>
      <x:c r="P116" s="9" t="inlineStr">
        <x:is>
          <x:t xml:space="preserve">Habitacional + home office</x:t>
        </x:is>
      </x:c>
      <x:c r="Q116" s="9" t="inlineStr">
        <x:is>
          <x:t xml:space="preserve">Postventa cerrada</x:t>
        </x:is>
      </x:c>
      <x:c r="R116" s="9" t="inlineStr">
        <x:is>
          <x:t xml:space="preserve">CONTAINER</x:t>
        </x:is>
      </x:c>
      <x:c r="S116" s="9" t="inlineStr">
        <x:is>
          <x:t xml:space="preserve">TES-0115</x:t>
        </x:is>
      </x:c>
    </x:row>
    <x:row r="117">
      <x:c r="A117" s="9" t="inlineStr">
        <x:is>
          <x:t xml:space="preserve">PRO-0116</x:t>
        </x:is>
      </x:c>
      <x:c r="B117" s="9" t="inlineStr">
        <x:is>
          <x:t xml:space="preserve">EMP-039</x:t>
        </x:is>
      </x:c>
      <x:c r="C117" s="9" t="inlineStr">
        <x:is>
          <x:t xml:space="preserve">MOD-0192</x:t>
        </x:is>
      </x:c>
      <x:c r="D117" s="9" t="inlineStr">
        <x:is>
          <x:t xml:space="preserve">Vista Pelluhue 14</x:t>
        </x:is>
      </x:c>
      <x:c r="E117" s="9" t="inlineStr">
        <x:is>
          <x:t xml:space="preserve">Sí</x:t>
        </x:is>
      </x:c>
      <x:c r="F117" s="9" t="inlineStr">
        <x:is>
          <x:t xml:space="preserve">Agustín Vargas Sandoval</x:t>
        </x:is>
      </x:c>
      <x:c r="G117" s="16" t="n">
        <x:v>44680</x:v>
      </x:c>
      <x:c r="H117" s="12" t="n">
        <x:v>72.2</x:v>
      </x:c>
      <x:c r="I117" s="9" t="inlineStr">
        <x:is>
          <x:t xml:space="preserve">Ruta Nueva Esperanza 960</x:t>
        </x:is>
      </x:c>
      <x:c r="J117" s="9" t="inlineStr">
        <x:is>
          <x:t xml:space="preserve">Puerto Montt</x:t>
        </x:is>
      </x:c>
      <x:c r="K117" s="9" t="inlineStr">
        <x:is>
          <x:t xml:space="preserve">Puerto Montt</x:t>
        </x:is>
      </x:c>
      <x:c r="L117" s="9" t="inlineStr">
        <x:is>
          <x:t xml:space="preserve">Los Lagos</x:t>
        </x:is>
      </x:c>
      <x:c r="M117" s="11" t="n">
        <x:v>-41.775569</x:v>
      </x:c>
      <x:c r="N117" s="11" t="n">
        <x:v>-73.143725</x:v>
      </x:c>
      <x:c r="O117" s="10" t="inlineStr">
        <x:is>
          <x:t xml:space="preserve">-41.775569, -73.143725</x:t>
        </x:is>
      </x:c>
      <x:c r="P117" s="9" t="inlineStr">
        <x:is>
          <x:t xml:space="preserve">Segunda vivienda</x:t>
        </x:is>
      </x:c>
      <x:c r="Q117" s="9" t="inlineStr">
        <x:is>
          <x:t xml:space="preserve">Entregado</x:t>
        </x:is>
      </x:c>
      <x:c r="R117" s="9" t="inlineStr">
        <x:is>
          <x:t xml:space="preserve">CONTAINER</x:t>
        </x:is>
      </x:c>
      <x:c r="S117" s="9" t="inlineStr">
        <x:is>
          <x:t xml:space="preserve">TES-0116</x:t>
        </x:is>
      </x:c>
    </x:row>
    <x:row r="118">
      <x:c r="A118" s="9" t="inlineStr">
        <x:is>
          <x:t xml:space="preserve">PRO-0117</x:t>
        </x:is>
      </x:c>
      <x:c r="B118" s="9" t="inlineStr">
        <x:is>
          <x:t xml:space="preserve">EMP-039</x:t>
        </x:is>
      </x:c>
      <x:c r="C118" s="9" t="inlineStr">
        <x:is>
          <x:t xml:space="preserve">MOD-0192</x:t>
        </x:is>
      </x:c>
      <x:c r="D118" s="9" t="inlineStr">
        <x:is>
          <x:t xml:space="preserve">Mirador Lonquimay 20</x:t>
        </x:is>
      </x:c>
      <x:c r="E118" s="9" t="inlineStr">
        <x:is>
          <x:t xml:space="preserve">Sí</x:t>
        </x:is>
      </x:c>
      <x:c r="F118" s="9" t="inlineStr">
        <x:is>
          <x:t xml:space="preserve">Catalina Navarro Fuentes</x:t>
        </x:is>
      </x:c>
      <x:c r="G118" s="16" t="n">
        <x:v>45545</x:v>
      </x:c>
      <x:c r="H118" s="12" t="n">
        <x:v>73.59999999999999</x:v>
      </x:c>
      <x:c r="I118" s="9" t="inlineStr">
        <x:is>
          <x:t xml:space="preserve">Sendero Los Carpinteros 123</x:t>
        </x:is>
      </x:c>
      <x:c r="J118" s="9" t="inlineStr">
        <x:is>
          <x:t xml:space="preserve">Puerto Montt</x:t>
        </x:is>
      </x:c>
      <x:c r="K118" s="9" t="inlineStr">
        <x:is>
          <x:t xml:space="preserve">Puerto Montt</x:t>
        </x:is>
      </x:c>
      <x:c r="L118" s="9" t="inlineStr">
        <x:is>
          <x:t xml:space="preserve">Los Lagos</x:t>
        </x:is>
      </x:c>
      <x:c r="M118" s="11" t="n">
        <x:v>-41.404054</x:v>
      </x:c>
      <x:c r="N118" s="11" t="n">
        <x:v>-73.248503</x:v>
      </x:c>
      <x:c r="O118" s="10" t="inlineStr">
        <x:is>
          <x:t xml:space="preserve">-41.404054, -73.248503</x:t>
        </x:is>
      </x:c>
      <x:c r="P118" s="9" t="inlineStr">
        <x:is>
          <x:t xml:space="preserve">Turismo</x:t>
        </x:is>
      </x:c>
      <x:c r="Q118" s="9" t="inlineStr">
        <x:is>
          <x:t xml:space="preserve">Entregado</x:t>
        </x:is>
      </x:c>
      <x:c r="R118" s="9" t="inlineStr">
        <x:is>
          <x:t xml:space="preserve">CONTAINER</x:t>
        </x:is>
      </x:c>
      <x:c r="S118" s="9" t="inlineStr">
        <x:is>
          <x:t xml:space="preserve">TES-0117</x:t>
        </x:is>
      </x:c>
    </x:row>
    <x:row r="119">
      <x:c r="A119" s="9" t="inlineStr">
        <x:is>
          <x:t xml:space="preserve">PRO-0118</x:t>
        </x:is>
      </x:c>
      <x:c r="B119" s="9" t="inlineStr">
        <x:is>
          <x:t xml:space="preserve">EMP-040</x:t>
        </x:is>
      </x:c>
      <x:c r="C119" s="9" t="inlineStr">
        <x:is>
          <x:t xml:space="preserve">MOD-0196</x:t>
        </x:is>
      </x:c>
      <x:c r="D119" s="9" t="inlineStr">
        <x:is>
          <x:t xml:space="preserve">Mirador Pucón 20</x:t>
        </x:is>
      </x:c>
      <x:c r="E119" s="9" t="inlineStr">
        <x:is>
          <x:t xml:space="preserve">Sí</x:t>
        </x:is>
      </x:c>
      <x:c r="F119" s="9" t="inlineStr">
        <x:is>
          <x:t xml:space="preserve">Valentina Tapia Torres</x:t>
        </x:is>
      </x:c>
      <x:c r="G119" s="16" t="n">
        <x:v>44680</x:v>
      </x:c>
      <x:c r="H119" s="12" t="n">
        <x:v>34.7</x:v>
      </x:c>
      <x:c r="I119" s="9" t="inlineStr">
        <x:is>
          <x:t xml:space="preserve">Calle Ruta Modular 1821</x:t>
        </x:is>
      </x:c>
      <x:c r="J119" s="9" t="inlineStr">
        <x:is>
          <x:t xml:space="preserve">Ancud</x:t>
        </x:is>
      </x:c>
      <x:c r="K119" s="9" t="inlineStr">
        <x:is>
          <x:t xml:space="preserve">Ancud</x:t>
        </x:is>
      </x:c>
      <x:c r="L119" s="9" t="inlineStr">
        <x:is>
          <x:t xml:space="preserve">Los Lagos</x:t>
        </x:is>
      </x:c>
      <x:c r="M119" s="11" t="n">
        <x:v>-41.740622</x:v>
      </x:c>
      <x:c r="N119" s="11" t="n">
        <x:v>-73.44599100000001</x:v>
      </x:c>
      <x:c r="O119" s="10" t="inlineStr">
        <x:is>
          <x:t xml:space="preserve">-41.740622, -73.445991</x:t>
        </x:is>
      </x:c>
      <x:c r="P119" s="9" t="inlineStr">
        <x:is>
          <x:t xml:space="preserve">Habitacional</x:t>
        </x:is>
      </x:c>
      <x:c r="Q119" s="9" t="inlineStr">
        <x:is>
          <x:t xml:space="preserve">Entregado</x:t>
        </x:is>
      </x:c>
      <x:c r="R119" s="9" t="inlineStr">
        <x:is>
          <x:t xml:space="preserve">STEEL_FRAME</x:t>
        </x:is>
      </x:c>
      <x:c r="S119" s="9" t="inlineStr">
        <x:is>
          <x:t xml:space="preserve">TES-0118</x:t>
        </x:is>
      </x:c>
    </x:row>
    <x:row r="120">
      <x:c r="A120" s="9" t="inlineStr">
        <x:is>
          <x:t xml:space="preserve">PRO-0119</x:t>
        </x:is>
      </x:c>
      <x:c r="B120" s="9" t="inlineStr">
        <x:is>
          <x:t xml:space="preserve">EMP-040</x:t>
        </x:is>
      </x:c>
      <x:c r="C120" s="9" t="inlineStr">
        <x:is>
          <x:t xml:space="preserve">MOD-0199</x:t>
        </x:is>
      </x:c>
      <x:c r="D120" s="9" t="inlineStr">
        <x:is>
          <x:t xml:space="preserve">Loteo Cautín 2</x:t>
        </x:is>
      </x:c>
      <x:c r="E120" s="9" t="inlineStr">
        <x:is>
          <x:t xml:space="preserve">Sí</x:t>
        </x:is>
      </x:c>
      <x:c r="F120" s="9" t="inlineStr">
        <x:is>
          <x:t xml:space="preserve">Carolina Herrera Salinas</x:t>
        </x:is>
      </x:c>
      <x:c r="G120" s="16" t="n">
        <x:v>45063</x:v>
      </x:c>
      <x:c r="H120" s="12" t="n">
        <x:v>164.4</x:v>
      </x:c>
      <x:c r="I120" s="9" t="inlineStr">
        <x:is>
          <x:t xml:space="preserve">Calle Río Claro 846</x:t>
        </x:is>
      </x:c>
      <x:c r="J120" s="9" t="inlineStr">
        <x:is>
          <x:t xml:space="preserve">Ancud</x:t>
        </x:is>
      </x:c>
      <x:c r="K120" s="9" t="inlineStr">
        <x:is>
          <x:t xml:space="preserve">Ancud</x:t>
        </x:is>
      </x:c>
      <x:c r="L120" s="9" t="inlineStr">
        <x:is>
          <x:t xml:space="preserve">Los Lagos</x:t>
        </x:is>
      </x:c>
      <x:c r="M120" s="11" t="n">
        <x:v>-42.179988</x:v>
      </x:c>
      <x:c r="N120" s="11" t="n">
        <x:v>-73.94917</x:v>
      </x:c>
      <x:c r="O120" s="10" t="inlineStr">
        <x:is>
          <x:t xml:space="preserve">-42.179988, -73.94917</x:t>
        </x:is>
      </x:c>
      <x:c r="P120" s="9" t="inlineStr">
        <x:is>
          <x:t xml:space="preserve">Segunda vivienda</x:t>
        </x:is>
      </x:c>
      <x:c r="Q120" s="9" t="inlineStr">
        <x:is>
          <x:t xml:space="preserve">Entregado</x:t>
        </x:is>
      </x:c>
      <x:c r="R120" s="9" t="inlineStr">
        <x:is>
          <x:t xml:space="preserve">MODULAR_TIMBER</x:t>
        </x:is>
      </x:c>
      <x:c r="S120" s="9" t="inlineStr">
        <x:is>
          <x:t xml:space="preserve">TES-0119</x:t>
        </x:is>
      </x:c>
    </x:row>
    <x:row r="121">
      <x:c r="A121" s="9" t="inlineStr">
        <x:is>
          <x:t xml:space="preserve">PRO-0120</x:t>
        </x:is>
      </x:c>
      <x:c r="B121" s="9" t="inlineStr">
        <x:is>
          <x:t xml:space="preserve">EMP-040</x:t>
        </x:is>
      </x:c>
      <x:c r="C121" s="9" t="inlineStr">
        <x:is>
          <x:t xml:space="preserve">MOD-0199</x:t>
        </x:is>
      </x:c>
      <x:c r="D121" s="9" t="inlineStr">
        <x:is>
          <x:t xml:space="preserve">Terraza Licanray 27</x:t>
        </x:is>
      </x:c>
      <x:c r="E121" s="9" t="inlineStr">
        <x:is>
          <x:t xml:space="preserve">Sí</x:t>
        </x:is>
      </x:c>
      <x:c r="F121" s="9" t="inlineStr">
        <x:is>
          <x:t xml:space="preserve">Diego Vargas Salinas</x:t>
        </x:is>
      </x:c>
      <x:c r="G121" s="16" t="n">
        <x:v>44765</x:v>
      </x:c>
      <x:c r="H121" s="12" t="n">
        <x:v>178.8</x:v>
      </x:c>
      <x:c r="I121" s="9" t="inlineStr">
        <x:is>
          <x:t xml:space="preserve">Los Nueva Esperanza 53</x:t>
        </x:is>
      </x:c>
      <x:c r="J121" s="9" t="inlineStr">
        <x:is>
          <x:t xml:space="preserve">Ancud</x:t>
        </x:is>
      </x:c>
      <x:c r="K121" s="9" t="inlineStr">
        <x:is>
          <x:t xml:space="preserve">Ancud</x:t>
        </x:is>
      </x:c>
      <x:c r="L121" s="9" t="inlineStr">
        <x:is>
          <x:t xml:space="preserve">Los Lagos</x:t>
        </x:is>
      </x:c>
      <x:c r="M121" s="11" t="n">
        <x:v>-41.598877</x:v>
      </x:c>
      <x:c r="N121" s="11" t="n">
        <x:v>-73.844947</x:v>
      </x:c>
      <x:c r="O121" s="10" t="inlineStr">
        <x:is>
          <x:t xml:space="preserve">-41.598877, -73.844947</x:t>
        </x:is>
      </x:c>
      <x:c r="P121" s="9" t="inlineStr">
        <x:is>
          <x:t xml:space="preserve">Habitacional</x:t>
        </x:is>
      </x:c>
      <x:c r="Q121" s="9" t="inlineStr">
        <x:is>
          <x:t xml:space="preserve">Entregado</x:t>
        </x:is>
      </x:c>
      <x:c r="R121" s="9" t="inlineStr">
        <x:is>
          <x:t xml:space="preserve">MODULAR_TIMBER</x:t>
        </x:is>
      </x:c>
      <x:c r="S121" s="9" t="inlineStr">
        <x:is>
          <x:t xml:space="preserve">TES-0120</x:t>
        </x:is>
      </x:c>
    </x:row>
    <x:row r="122">
      <x:c r="A122" s="9" t="inlineStr">
        <x:is>
          <x:t xml:space="preserve">PRO-0121</x:t>
        </x:is>
      </x:c>
      <x:c r="B122" s="9" t="inlineStr">
        <x:is>
          <x:t xml:space="preserve">EMP-041</x:t>
        </x:is>
      </x:c>
      <x:c r="C122" s="9" t="inlineStr">
        <x:is>
          <x:t xml:space="preserve">MOD-0203</x:t>
        </x:is>
      </x:c>
      <x:c r="D122" s="9" t="inlineStr">
        <x:is>
          <x:t xml:space="preserve">Bosques de Rapel 10</x:t>
        </x:is>
      </x:c>
      <x:c r="E122" s="9" t="inlineStr">
        <x:is>
          <x:t xml:space="preserve">Sí</x:t>
        </x:is>
      </x:c>
      <x:c r="F122" s="9" t="inlineStr">
        <x:is>
          <x:t xml:space="preserve">Iván Bravo Morales</x:t>
        </x:is>
      </x:c>
      <x:c r="G122" s="16" t="n">
        <x:v>45860</x:v>
      </x:c>
      <x:c r="H122" s="12" t="n">
        <x:v>83.09999999999999</x:v>
      </x:c>
      <x:c r="I122" s="9" t="inlineStr">
        <x:is>
          <x:t xml:space="preserve">Sendero La Frontera 26</x:t>
        </x:is>
      </x:c>
      <x:c r="J122" s="9" t="inlineStr">
        <x:is>
          <x:t xml:space="preserve">Castro</x:t>
        </x:is>
      </x:c>
      <x:c r="K122" s="9" t="inlineStr">
        <x:is>
          <x:t xml:space="preserve">Castro</x:t>
        </x:is>
      </x:c>
      <x:c r="L122" s="9" t="inlineStr">
        <x:is>
          <x:t xml:space="preserve">Los Lagos</x:t>
        </x:is>
      </x:c>
      <x:c r="M122" s="11" t="n">
        <x:v>-42.47225</x:v>
      </x:c>
      <x:c r="N122" s="11" t="n">
        <x:v>-74.01518</x:v>
      </x:c>
      <x:c r="O122" s="10" t="inlineStr">
        <x:is>
          <x:t xml:space="preserve">-42.47225, -74.01518</x:t>
        </x:is>
      </x:c>
      <x:c r="P122" s="9" t="inlineStr">
        <x:is>
          <x:t xml:space="preserve">Habitacional</x:t>
        </x:is>
      </x:c>
      <x:c r="Q122" s="9" t="inlineStr">
        <x:is>
          <x:t xml:space="preserve">Entregado</x:t>
        </x:is>
      </x:c>
      <x:c r="R122" s="9" t="inlineStr">
        <x:is>
          <x:t xml:space="preserve">MODULAR_TIMBER</x:t>
        </x:is>
      </x:c>
      <x:c r="S122" s="9" t="inlineStr">
        <x:is>
          <x:t xml:space="preserve">TES-0121</x:t>
        </x:is>
      </x:c>
    </x:row>
    <x:row r="123">
      <x:c r="A123" s="9" t="inlineStr">
        <x:is>
          <x:t xml:space="preserve">PRO-0122</x:t>
        </x:is>
      </x:c>
      <x:c r="B123" s="9" t="inlineStr">
        <x:is>
          <x:t xml:space="preserve">EMP-041</x:t>
        </x:is>
      </x:c>
      <x:c r="C123" s="9" t="inlineStr">
        <x:is>
          <x:t xml:space="preserve">MOD-0204</x:t>
        </x:is>
      </x:c>
      <x:c r="D123" s="9" t="inlineStr">
        <x:is>
          <x:t xml:space="preserve">Bosques de Lonquimay 23</x:t>
        </x:is>
      </x:c>
      <x:c r="E123" s="9" t="inlineStr">
        <x:is>
          <x:t xml:space="preserve">Sí</x:t>
        </x:is>
      </x:c>
      <x:c r="F123" s="9" t="inlineStr">
        <x:is>
          <x:t xml:space="preserve">Iván Valdés Pino</x:t>
        </x:is>
      </x:c>
      <x:c r="G123" s="16" t="n">
        <x:v>45516</x:v>
      </x:c>
      <x:c r="H123" s="12" t="n">
        <x:v>156.4</x:v>
      </x:c>
      <x:c r="I123" s="9" t="inlineStr">
        <x:is>
          <x:t xml:space="preserve">Sendero Ruta Modular 1519</x:t>
        </x:is>
      </x:c>
      <x:c r="J123" s="9" t="inlineStr">
        <x:is>
          <x:t xml:space="preserve">Castro</x:t>
        </x:is>
      </x:c>
      <x:c r="K123" s="9" t="inlineStr">
        <x:is>
          <x:t xml:space="preserve">Castro</x:t>
        </x:is>
      </x:c>
      <x:c r="L123" s="9" t="inlineStr">
        <x:is>
          <x:t xml:space="preserve">Los Lagos</x:t>
        </x:is>
      </x:c>
      <x:c r="M123" s="11" t="n">
        <x:v>-42.82297</x:v>
      </x:c>
      <x:c r="N123" s="11" t="n">
        <x:v>-73.574136</x:v>
      </x:c>
      <x:c r="O123" s="10" t="inlineStr">
        <x:is>
          <x:t xml:space="preserve">-42.82297, -73.574136</x:t>
        </x:is>
      </x:c>
      <x:c r="P123" s="9" t="inlineStr">
        <x:is>
          <x:t xml:space="preserve">Segunda vivienda</x:t>
        </x:is>
      </x:c>
      <x:c r="Q123" s="9" t="inlineStr">
        <x:is>
          <x:t xml:space="preserve">Entregado</x:t>
        </x:is>
      </x:c>
      <x:c r="R123" s="9" t="inlineStr">
        <x:is>
          <x:t xml:space="preserve">STEEL_FRAME</x:t>
        </x:is>
      </x:c>
      <x:c r="S123" s="9" t="inlineStr">
        <x:is>
          <x:t xml:space="preserve">TES-0122</x:t>
        </x:is>
      </x:c>
    </x:row>
    <x:row r="124">
      <x:c r="A124" s="9" t="inlineStr">
        <x:is>
          <x:t xml:space="preserve">PRO-0123</x:t>
        </x:is>
      </x:c>
      <x:c r="B124" s="9" t="inlineStr">
        <x:is>
          <x:t xml:space="preserve">EMP-041</x:t>
        </x:is>
      </x:c>
      <x:c r="C124" s="9" t="inlineStr">
        <x:is>
          <x:t xml:space="preserve">MOD-0205</x:t>
        </x:is>
      </x:c>
      <x:c r="D124" s="9" t="inlineStr">
        <x:is>
          <x:t xml:space="preserve">Altos de Villarrica 15</x:t>
        </x:is>
      </x:c>
      <x:c r="E124" s="9" t="inlineStr">
        <x:is>
          <x:t xml:space="preserve">Sí</x:t>
        </x:is>
      </x:c>
      <x:c r="F124" s="9" t="inlineStr">
        <x:is>
          <x:t xml:space="preserve">Vicente Alarcón Mardones</x:t>
        </x:is>
      </x:c>
      <x:c r="G124" s="16" t="n">
        <x:v>45430</x:v>
      </x:c>
      <x:c r="H124" s="12" t="n">
        <x:v>219.4</x:v>
      </x:c>
      <x:c r="I124" s="9" t="inlineStr">
        <x:is>
          <x:t xml:space="preserve">Av. Taller del Pacífico 1323</x:t>
        </x:is>
      </x:c>
      <x:c r="J124" s="9" t="inlineStr">
        <x:is>
          <x:t xml:space="preserve">Castro</x:t>
        </x:is>
      </x:c>
      <x:c r="K124" s="9" t="inlineStr">
        <x:is>
          <x:t xml:space="preserve">Castro</x:t>
        </x:is>
      </x:c>
      <x:c r="L124" s="9" t="inlineStr">
        <x:is>
          <x:t xml:space="preserve">Los Lagos</x:t>
        </x:is>
      </x:c>
      <x:c r="M124" s="11" t="n">
        <x:v>-42.463278</x:v>
      </x:c>
      <x:c r="N124" s="11" t="n">
        <x:v>-73.951909</x:v>
      </x:c>
      <x:c r="O124" s="10" t="inlineStr">
        <x:is>
          <x:t xml:space="preserve">-42.463278, -73.951909</x:t>
        </x:is>
      </x:c>
      <x:c r="P124" s="9" t="inlineStr">
        <x:is>
          <x:t xml:space="preserve">Habitacional + home office</x:t>
        </x:is>
      </x:c>
      <x:c r="Q124" s="9" t="inlineStr">
        <x:is>
          <x:t xml:space="preserve">Entregado</x:t>
        </x:is>
      </x:c>
      <x:c r="R124" s="9" t="inlineStr">
        <x:is>
          <x:t xml:space="preserve">HYBRID_MODULAR</x:t>
        </x:is>
      </x:c>
      <x:c r="S124" s="9" t="inlineStr">
        <x:is>
          <x:t xml:space="preserve">TES-0123</x:t>
        </x:is>
      </x:c>
    </x:row>
    <x:row r="125">
      <x:c r="A125" s="9" t="inlineStr">
        <x:is>
          <x:t xml:space="preserve">PRO-0124</x:t>
        </x:is>
      </x:c>
      <x:c r="B125" s="9" t="inlineStr">
        <x:is>
          <x:t xml:space="preserve">EMP-042</x:t>
        </x:is>
      </x:c>
      <x:c r="C125" s="9" t="inlineStr">
        <x:is>
          <x:t xml:space="preserve">MOD-0208</x:t>
        </x:is>
      </x:c>
      <x:c r="D125" s="9" t="inlineStr">
        <x:is>
          <x:t xml:space="preserve">Bosques de Lonquimay 15</x:t>
        </x:is>
      </x:c>
      <x:c r="E125" s="9" t="inlineStr">
        <x:is>
          <x:t xml:space="preserve">Sí</x:t>
        </x:is>
      </x:c>
      <x:c r="F125" s="9" t="inlineStr">
        <x:is>
          <x:t xml:space="preserve">Nicolás Núñez Soto</x:t>
        </x:is>
      </x:c>
      <x:c r="G125" s="16" t="n">
        <x:v>44423</x:v>
      </x:c>
      <x:c r="H125" s="12" t="n">
        <x:v>108.7</x:v>
      </x:c>
      <x:c r="I125" s="9" t="inlineStr">
        <x:is>
          <x:t xml:space="preserve">Pasaje Radal 1414</x:t>
        </x:is>
      </x:c>
      <x:c r="J125" s="9" t="inlineStr">
        <x:is>
          <x:t xml:space="preserve">Coyhaique</x:t>
        </x:is>
      </x:c>
      <x:c r="K125" s="9" t="inlineStr">
        <x:is>
          <x:t xml:space="preserve">Coyhaique</x:t>
        </x:is>
      </x:c>
      <x:c r="L125" s="9" t="inlineStr">
        <x:is>
          <x:t xml:space="preserve">Aysén</x:t>
        </x:is>
      </x:c>
      <x:c r="M125" s="11" t="n">
        <x:v>-45.502117</x:v>
      </x:c>
      <x:c r="N125" s="11" t="n">
        <x:v>-71.66113</x:v>
      </x:c>
      <x:c r="O125" s="10" t="inlineStr">
        <x:is>
          <x:t xml:space="preserve">-45.502117, -71.66113</x:t>
        </x:is>
      </x:c>
      <x:c r="P125" s="9" t="inlineStr">
        <x:is>
          <x:t xml:space="preserve">Segunda vivienda</x:t>
        </x:is>
      </x:c>
      <x:c r="Q125" s="9" t="inlineStr">
        <x:is>
          <x:t xml:space="preserve">Entregado</x:t>
        </x:is>
      </x:c>
      <x:c r="R125" s="9" t="inlineStr">
        <x:is>
          <x:t xml:space="preserve">SIP</x:t>
        </x:is>
      </x:c>
      <x:c r="S125" s="9" t="inlineStr">
        <x:is>
          <x:t xml:space="preserve">TES-0124</x:t>
        </x:is>
      </x:c>
    </x:row>
    <x:row r="126">
      <x:c r="A126" s="9" t="inlineStr">
        <x:is>
          <x:t xml:space="preserve">PRO-0125</x:t>
        </x:is>
      </x:c>
      <x:c r="B126" s="9" t="inlineStr">
        <x:is>
          <x:t xml:space="preserve">EMP-042</x:t>
        </x:is>
      </x:c>
      <x:c r="C126" s="9" t="inlineStr">
        <x:is>
          <x:t xml:space="preserve">MOD-0210</x:t>
        </x:is>
      </x:c>
      <x:c r="D126" s="9" t="inlineStr">
        <x:is>
          <x:t xml:space="preserve">Casa Villarrica 20</x:t>
        </x:is>
      </x:c>
      <x:c r="E126" s="9" t="inlineStr">
        <x:is>
          <x:t xml:space="preserve">Sí</x:t>
        </x:is>
      </x:c>
      <x:c r="F126" s="9" t="inlineStr">
        <x:is>
          <x:t xml:space="preserve">Nicolás Henríquez Molina</x:t>
        </x:is>
      </x:c>
      <x:c r="G126" s="16" t="n">
        <x:v>44369</x:v>
      </x:c>
      <x:c r="H126" s="12" t="n">
        <x:v>210.8</x:v>
      </x:c>
      <x:c r="I126" s="9" t="inlineStr">
        <x:is>
          <x:t xml:space="preserve">Ruta Los Carpinteros 57</x:t>
        </x:is>
      </x:c>
      <x:c r="J126" s="9" t="inlineStr">
        <x:is>
          <x:t xml:space="preserve">Coyhaique</x:t>
        </x:is>
      </x:c>
      <x:c r="K126" s="9" t="inlineStr">
        <x:is>
          <x:t xml:space="preserve">Coyhaique</x:t>
        </x:is>
      </x:c>
      <x:c r="L126" s="9" t="inlineStr">
        <x:is>
          <x:t xml:space="preserve">Aysén</x:t>
        </x:is>
      </x:c>
      <x:c r="M126" s="11" t="n">
        <x:v>-45.736251</x:v>
      </x:c>
      <x:c r="N126" s="11" t="n">
        <x:v>-71.726422</x:v>
      </x:c>
      <x:c r="O126" s="10" t="inlineStr">
        <x:is>
          <x:t xml:space="preserve">-45.736251, -71.726422</x:t>
        </x:is>
      </x:c>
      <x:c r="P126" s="9" t="inlineStr">
        <x:is>
          <x:t xml:space="preserve">Habitacional + home office</x:t>
        </x:is>
      </x:c>
      <x:c r="Q126" s="9" t="inlineStr">
        <x:is>
          <x:t xml:space="preserve">Entregado</x:t>
        </x:is>
      </x:c>
      <x:c r="R126" s="9" t="inlineStr">
        <x:is>
          <x:t xml:space="preserve">HYBRID_MODULAR</x:t>
        </x:is>
      </x:c>
      <x:c r="S126" s="9" t="inlineStr">
        <x:is>
          <x:t xml:space="preserve">TES-0125</x:t>
        </x:is>
      </x:c>
    </x:row>
    <x:row r="127">
      <x:c r="A127" s="9" t="inlineStr">
        <x:is>
          <x:t xml:space="preserve">PRO-0126</x:t>
        </x:is>
      </x:c>
      <x:c r="B127" s="9" t="inlineStr">
        <x:is>
          <x:t xml:space="preserve">EMP-042</x:t>
        </x:is>
      </x:c>
      <x:c r="C127" s="9" t="inlineStr">
        <x:is>
          <x:t xml:space="preserve">MOD-0207</x:t>
        </x:is>
      </x:c>
      <x:c r="D127" s="9" t="inlineStr">
        <x:is>
          <x:t xml:space="preserve">Parcela Baker 14</x:t>
        </x:is>
      </x:c>
      <x:c r="E127" s="9" t="inlineStr">
        <x:is>
          <x:t xml:space="preserve">Sí</x:t>
        </x:is>
      </x:c>
      <x:c r="F127" s="9" t="inlineStr">
        <x:is>
          <x:t xml:space="preserve">Josefa Leiva Acuña</x:t>
        </x:is>
      </x:c>
      <x:c r="G127" s="16" t="n">
        <x:v>45075</x:v>
      </x:c>
      <x:c r="H127" s="12" t="n">
        <x:v>98.7</x:v>
      </x:c>
      <x:c r="I127" s="9" t="inlineStr">
        <x:is>
          <x:t xml:space="preserve">Pasaje Los Tijerales 250</x:t>
        </x:is>
      </x:c>
      <x:c r="J127" s="9" t="inlineStr">
        <x:is>
          <x:t xml:space="preserve">Coyhaique</x:t>
        </x:is>
      </x:c>
      <x:c r="K127" s="9" t="inlineStr">
        <x:is>
          <x:t xml:space="preserve">Coyhaique</x:t>
        </x:is>
      </x:c>
      <x:c r="L127" s="9" t="inlineStr">
        <x:is>
          <x:t xml:space="preserve">Aysén</x:t>
        </x:is>
      </x:c>
      <x:c r="M127" s="11" t="n">
        <x:v>-45.759097</x:v>
      </x:c>
      <x:c r="N127" s="11" t="n">
        <x:v>-71.66927200000001</x:v>
      </x:c>
      <x:c r="O127" s="10" t="inlineStr">
        <x:is>
          <x:t xml:space="preserve">-45.759097, -71.669272</x:t>
        </x:is>
      </x:c>
      <x:c r="P127" s="9" t="inlineStr">
        <x:is>
          <x:t xml:space="preserve">Segunda vivienda</x:t>
        </x:is>
      </x:c>
      <x:c r="Q127" s="9" t="inlineStr">
        <x:is>
          <x:t xml:space="preserve">Postventa cerrada</x:t>
        </x:is>
      </x:c>
      <x:c r="R127" s="9" t="inlineStr">
        <x:is>
          <x:t xml:space="preserve">STEEL_FRAME</x:t>
        </x:is>
      </x:c>
      <x:c r="S127" s="9" t="inlineStr">
        <x:is>
          <x:t xml:space="preserve">TES-0126</x:t>
        </x:is>
      </x:c>
    </x:row>
    <x:row r="128">
      <x:c r="A128" s="9" t="inlineStr">
        <x:is>
          <x:t xml:space="preserve">PRO-0127</x:t>
        </x:is>
      </x:c>
      <x:c r="B128" s="9" t="inlineStr">
        <x:is>
          <x:t xml:space="preserve">EMP-043</x:t>
        </x:is>
      </x:c>
      <x:c r="C128" s="9" t="inlineStr">
        <x:is>
          <x:t xml:space="preserve">MOD-0212</x:t>
        </x:is>
      </x:c>
      <x:c r="D128" s="9" t="inlineStr">
        <x:is>
          <x:t xml:space="preserve">Condominio Cobquecura 6</x:t>
        </x:is>
      </x:c>
      <x:c r="E128" s="9" t="inlineStr">
        <x:is>
          <x:t xml:space="preserve">Sí</x:t>
        </x:is>
      </x:c>
      <x:c r="F128" s="9" t="inlineStr">
        <x:is>
          <x:t xml:space="preserve">Gabriel Fuentes Henríquez</x:t>
        </x:is>
      </x:c>
      <x:c r="G128" s="16" t="n">
        <x:v>45725</x:v>
      </x:c>
      <x:c r="H128" s="12" t="n">
        <x:v>89.3</x:v>
      </x:c>
      <x:c r="I128" s="9" t="inlineStr">
        <x:is>
          <x:t xml:space="preserve">Ruta Nueva Esperanza 1498</x:t>
        </x:is>
      </x:c>
      <x:c r="J128" s="9" t="inlineStr">
        <x:is>
          <x:t xml:space="preserve">Puerto Aysén</x:t>
        </x:is>
      </x:c>
      <x:c r="K128" s="9" t="inlineStr">
        <x:is>
          <x:t xml:space="preserve">Puerto Aysén</x:t>
        </x:is>
      </x:c>
      <x:c r="L128" s="9" t="inlineStr">
        <x:is>
          <x:t xml:space="preserve">Aysén</x:t>
        </x:is>
      </x:c>
      <x:c r="M128" s="11" t="n">
        <x:v>-45.716715</x:v>
      </x:c>
      <x:c r="N128" s="11" t="n">
        <x:v>-72.464901</x:v>
      </x:c>
      <x:c r="O128" s="10" t="inlineStr">
        <x:is>
          <x:t xml:space="preserve">-45.716715, -72.464901</x:t>
        </x:is>
      </x:c>
      <x:c r="P128" s="9" t="inlineStr">
        <x:is>
          <x:t xml:space="preserve">Segunda vivienda</x:t>
        </x:is>
      </x:c>
      <x:c r="Q128" s="9" t="inlineStr">
        <x:is>
          <x:t xml:space="preserve">Entregado</x:t>
        </x:is>
      </x:c>
      <x:c r="R128" s="9" t="inlineStr">
        <x:is>
          <x:t xml:space="preserve">MODULAR_TIMBER</x:t>
        </x:is>
      </x:c>
      <x:c r="S128" s="9" t="inlineStr">
        <x:is>
          <x:t xml:space="preserve">TES-0127</x:t>
        </x:is>
      </x:c>
    </x:row>
    <x:row r="129">
      <x:c r="A129" s="9" t="inlineStr">
        <x:is>
          <x:t xml:space="preserve">PRO-0128</x:t>
        </x:is>
      </x:c>
      <x:c r="B129" s="9" t="inlineStr">
        <x:is>
          <x:t xml:space="preserve">EMP-043</x:t>
        </x:is>
      </x:c>
      <x:c r="C129" s="9" t="inlineStr">
        <x:is>
          <x:t xml:space="preserve">MOD-0212</x:t>
        </x:is>
      </x:c>
      <x:c r="D129" s="9" t="inlineStr">
        <x:is>
          <x:t xml:space="preserve">Refugio Cochamó 22</x:t>
        </x:is>
      </x:c>
      <x:c r="E129" s="9" t="inlineStr">
        <x:is>
          <x:t xml:space="preserve">Sí</x:t>
        </x:is>
      </x:c>
      <x:c r="F129" s="9" t="inlineStr">
        <x:is>
          <x:t xml:space="preserve">Daniela Bustos Salinas</x:t>
        </x:is>
      </x:c>
      <x:c r="G129" s="16" t="n">
        <x:v>44954</x:v>
      </x:c>
      <x:c r="H129" s="12" t="n">
        <x:v>90.3</x:v>
      </x:c>
      <x:c r="I129" s="9" t="inlineStr">
        <x:is>
          <x:t xml:space="preserve">Sendero Las Lengas 1794</x:t>
        </x:is>
      </x:c>
      <x:c r="J129" s="9" t="inlineStr">
        <x:is>
          <x:t xml:space="preserve">Puerto Aysén</x:t>
        </x:is>
      </x:c>
      <x:c r="K129" s="9" t="inlineStr">
        <x:is>
          <x:t xml:space="preserve">Puerto Aysén</x:t>
        </x:is>
      </x:c>
      <x:c r="L129" s="9" t="inlineStr">
        <x:is>
          <x:t xml:space="preserve">Aysén</x:t>
        </x:is>
      </x:c>
      <x:c r="M129" s="11" t="n">
        <x:v>-45.35479</x:v>
      </x:c>
      <x:c r="N129" s="11" t="n">
        <x:v>-73.00432000000001</x:v>
      </x:c>
      <x:c r="O129" s="10" t="inlineStr">
        <x:is>
          <x:t xml:space="preserve">-45.35479, -73.00432</x:t>
        </x:is>
      </x:c>
      <x:c r="P129" s="9" t="inlineStr">
        <x:is>
          <x:t xml:space="preserve">Habitacional + home office</x:t>
        </x:is>
      </x:c>
      <x:c r="Q129" s="9" t="inlineStr">
        <x:is>
          <x:t xml:space="preserve">Postventa cerrada</x:t>
        </x:is>
      </x:c>
      <x:c r="R129" s="9" t="inlineStr">
        <x:is>
          <x:t xml:space="preserve">MODULAR_TIMBER</x:t>
        </x:is>
      </x:c>
      <x:c r="S129" s="9" t="inlineStr">
        <x:is>
          <x:t xml:space="preserve">TES-0128</x:t>
        </x:is>
      </x:c>
    </x:row>
    <x:row r="130">
      <x:c r="A130" s="9" t="inlineStr">
        <x:is>
          <x:t xml:space="preserve">PRO-0129</x:t>
        </x:is>
      </x:c>
      <x:c r="B130" s="9" t="inlineStr">
        <x:is>
          <x:t xml:space="preserve">EMP-043</x:t>
        </x:is>
      </x:c>
      <x:c r="C130" s="9" t="inlineStr">
        <x:is>
          <x:t xml:space="preserve">MOD-0213</x:t>
        </x:is>
      </x:c>
      <x:c r="D130" s="9" t="inlineStr">
        <x:is>
          <x:t xml:space="preserve">Terraza Licanray 1</x:t>
        </x:is>
      </x:c>
      <x:c r="E130" s="9" t="inlineStr">
        <x:is>
          <x:t xml:space="preserve">Sí</x:t>
        </x:is>
      </x:c>
      <x:c r="F130" s="9" t="inlineStr">
        <x:is>
          <x:t xml:space="preserve">Vicente Contreras Ramírez</x:t>
        </x:is>
      </x:c>
      <x:c r="G130" s="16" t="n">
        <x:v>44317</x:v>
      </x:c>
      <x:c r="H130" s="12" t="n">
        <x:v>68.90000000000001</x:v>
      </x:c>
      <x:c r="I130" s="9" t="inlineStr">
        <x:is>
          <x:t xml:space="preserve">Los Radal 1383</x:t>
        </x:is>
      </x:c>
      <x:c r="J130" s="9" t="inlineStr">
        <x:is>
          <x:t xml:space="preserve">Puerto Aysén</x:t>
        </x:is>
      </x:c>
      <x:c r="K130" s="9" t="inlineStr">
        <x:is>
          <x:t xml:space="preserve">Puerto Aysén</x:t>
        </x:is>
      </x:c>
      <x:c r="L130" s="9" t="inlineStr">
        <x:is>
          <x:t xml:space="preserve">Aysén</x:t>
        </x:is>
      </x:c>
      <x:c r="M130" s="11" t="n">
        <x:v>-45.15611</x:v>
      </x:c>
      <x:c r="N130" s="11" t="n">
        <x:v>-72.734684</x:v>
      </x:c>
      <x:c r="O130" s="10" t="inlineStr">
        <x:is>
          <x:t xml:space="preserve">-45.15611, -72.734684</x:t>
        </x:is>
      </x:c>
      <x:c r="P130" s="9" t="inlineStr">
        <x:is>
          <x:t xml:space="preserve">Turismo</x:t>
        </x:is>
      </x:c>
      <x:c r="Q130" s="9" t="inlineStr">
        <x:is>
          <x:t xml:space="preserve">Postventa cerrada</x:t>
        </x:is>
      </x:c>
      <x:c r="R130" s="9" t="inlineStr">
        <x:is>
          <x:t xml:space="preserve">SIP</x:t>
        </x:is>
      </x:c>
      <x:c r="S130" s="9" t="inlineStr">
        <x:is>
          <x:t xml:space="preserve">TES-0129</x:t>
        </x:is>
      </x:c>
    </x:row>
    <x:row r="131">
      <x:c r="A131" s="9" t="inlineStr">
        <x:is>
          <x:t xml:space="preserve">PRO-0130</x:t>
        </x:is>
      </x:c>
      <x:c r="B131" s="9" t="inlineStr">
        <x:is>
          <x:t xml:space="preserve">EMP-044</x:t>
        </x:is>
      </x:c>
      <x:c r="C131" s="9" t="inlineStr">
        <x:is>
          <x:t xml:space="preserve">MOD-0218</x:t>
        </x:is>
      </x:c>
      <x:c r="D131" s="9" t="inlineStr">
        <x:is>
          <x:t xml:space="preserve">Mirador Lonquimay 23</x:t>
        </x:is>
      </x:c>
      <x:c r="E131" s="9" t="inlineStr">
        <x:is>
          <x:t xml:space="preserve">Sí</x:t>
        </x:is>
      </x:c>
      <x:c r="F131" s="9" t="inlineStr">
        <x:is>
          <x:t xml:space="preserve">Martín Ramírez Rojas</x:t>
        </x:is>
      </x:c>
      <x:c r="G131" s="16" t="n">
        <x:v>45385</x:v>
      </x:c>
      <x:c r="H131" s="12" t="n">
        <x:v>109</x:v>
      </x:c>
      <x:c r="I131" s="9" t="inlineStr">
        <x:is>
          <x:t xml:space="preserve">Los Río Claro 280</x:t>
        </x:is>
      </x:c>
      <x:c r="J131" s="9" t="inlineStr">
        <x:is>
          <x:t xml:space="preserve">Punta Arenas</x:t>
        </x:is>
      </x:c>
      <x:c r="K131" s="9" t="inlineStr">
        <x:is>
          <x:t xml:space="preserve">Punta Arenas</x:t>
        </x:is>
      </x:c>
      <x:c r="L131" s="9" t="inlineStr">
        <x:is>
          <x:t xml:space="preserve">Magallanes y de la Antártica Chilena</x:t>
        </x:is>
      </x:c>
      <x:c r="M131" s="11" t="n">
        <x:v>-53.438923</x:v>
      </x:c>
      <x:c r="N131" s="11" t="n">
        <x:v>-70.978274</x:v>
      </x:c>
      <x:c r="O131" s="10" t="inlineStr">
        <x:is>
          <x:t xml:space="preserve">-53.438923, -70.978274</x:t>
        </x:is>
      </x:c>
      <x:c r="P131" s="9" t="inlineStr">
        <x:is>
          <x:t xml:space="preserve">Parcela</x:t>
        </x:is>
      </x:c>
      <x:c r="Q131" s="9" t="inlineStr">
        <x:is>
          <x:t xml:space="preserve">Postventa cerrada</x:t>
        </x:is>
      </x:c>
      <x:c r="R131" s="9" t="inlineStr">
        <x:is>
          <x:t xml:space="preserve">HYBRID_MODULAR</x:t>
        </x:is>
      </x:c>
      <x:c r="S131" s="9" t="inlineStr">
        <x:is>
          <x:t xml:space="preserve">TES-0130</x:t>
        </x:is>
      </x:c>
    </x:row>
    <x:row r="132">
      <x:c r="A132" s="9" t="inlineStr">
        <x:is>
          <x:t xml:space="preserve">PRO-0131</x:t>
        </x:is>
      </x:c>
      <x:c r="B132" s="9" t="inlineStr">
        <x:is>
          <x:t xml:space="preserve">EMP-044</x:t>
        </x:is>
      </x:c>
      <x:c r="C132" s="9" t="inlineStr">
        <x:is>
          <x:t xml:space="preserve">MOD-0218</x:t>
        </x:is>
      </x:c>
      <x:c r="D132" s="9" t="inlineStr">
        <x:is>
          <x:t xml:space="preserve">Loteo Panguipulli 27</x:t>
        </x:is>
      </x:c>
      <x:c r="E132" s="9" t="inlineStr">
        <x:is>
          <x:t xml:space="preserve">Sí</x:t>
        </x:is>
      </x:c>
      <x:c r="F132" s="9" t="inlineStr">
        <x:is>
          <x:t xml:space="preserve">Benjamín Torres Reyes</x:t>
        </x:is>
      </x:c>
      <x:c r="G132" s="16" t="n">
        <x:v>45982</x:v>
      </x:c>
      <x:c r="H132" s="12" t="n">
        <x:v>120.6</x:v>
      </x:c>
      <x:c r="I132" s="9" t="inlineStr">
        <x:is>
          <x:t xml:space="preserve">Parque Nueva Esperanza 1858</x:t>
        </x:is>
      </x:c>
      <x:c r="J132" s="9" t="inlineStr">
        <x:is>
          <x:t xml:space="preserve">Punta Arenas</x:t>
        </x:is>
      </x:c>
      <x:c r="K132" s="9" t="inlineStr">
        <x:is>
          <x:t xml:space="preserve">Punta Arenas</x:t>
        </x:is>
      </x:c>
      <x:c r="L132" s="9" t="inlineStr">
        <x:is>
          <x:t xml:space="preserve">Magallanes y de la Antártica Chilena</x:t>
        </x:is>
      </x:c>
      <x:c r="M132" s="11" t="n">
        <x:v>-53.36113</x:v>
      </x:c>
      <x:c r="N132" s="11" t="n">
        <x:v>-71.070847</x:v>
      </x:c>
      <x:c r="O132" s="10" t="inlineStr">
        <x:is>
          <x:t xml:space="preserve">-53.36113, -71.070847</x:t>
        </x:is>
      </x:c>
      <x:c r="P132" s="9" t="inlineStr">
        <x:is>
          <x:t xml:space="preserve">Turismo</x:t>
        </x:is>
      </x:c>
      <x:c r="Q132" s="9" t="inlineStr">
        <x:is>
          <x:t xml:space="preserve">Entregado</x:t>
        </x:is>
      </x:c>
      <x:c r="R132" s="9" t="inlineStr">
        <x:is>
          <x:t xml:space="preserve">HYBRID_MODULAR</x:t>
        </x:is>
      </x:c>
      <x:c r="S132" s="9" t="inlineStr">
        <x:is>
          <x:t xml:space="preserve">TES-0131</x:t>
        </x:is>
      </x:c>
    </x:row>
    <x:row r="133">
      <x:c r="A133" s="9" t="inlineStr">
        <x:is>
          <x:t xml:space="preserve">PRO-0132</x:t>
        </x:is>
      </x:c>
      <x:c r="B133" s="9" t="inlineStr">
        <x:is>
          <x:t xml:space="preserve">EMP-044</x:t>
        </x:is>
      </x:c>
      <x:c r="C133" s="9" t="inlineStr">
        <x:is>
          <x:t xml:space="preserve">MOD-0219</x:t>
        </x:is>
      </x:c>
      <x:c r="D133" s="9" t="inlineStr">
        <x:is>
          <x:t xml:space="preserve">Condominio Valdivia 2</x:t>
        </x:is>
      </x:c>
      <x:c r="E133" s="9" t="inlineStr">
        <x:is>
          <x:t xml:space="preserve">Sí</x:t>
        </x:is>
      </x:c>
      <x:c r="F133" s="9" t="inlineStr">
        <x:is>
          <x:t xml:space="preserve">Esteban Sepúlveda Ramírez</x:t>
        </x:is>
      </x:c>
      <x:c r="G133" s="16" t="n">
        <x:v>45944</x:v>
      </x:c>
      <x:c r="H133" s="12" t="n">
        <x:v>166.9</x:v>
      </x:c>
      <x:c r="I133" s="9" t="inlineStr">
        <x:is>
          <x:t xml:space="preserve">Ruta Las Lengas 121</x:t>
        </x:is>
      </x:c>
      <x:c r="J133" s="9" t="inlineStr">
        <x:is>
          <x:t xml:space="preserve">Punta Arenas</x:t>
        </x:is>
      </x:c>
      <x:c r="K133" s="9" t="inlineStr">
        <x:is>
          <x:t xml:space="preserve">Punta Arenas</x:t>
        </x:is>
      </x:c>
      <x:c r="L133" s="9" t="inlineStr">
        <x:is>
          <x:t xml:space="preserve">Magallanes y de la Antártica Chilena</x:t>
        </x:is>
      </x:c>
      <x:c r="M133" s="11" t="n">
        <x:v>-53.112173</x:v>
      </x:c>
      <x:c r="N133" s="11" t="n">
        <x:v>-71.015269</x:v>
      </x:c>
      <x:c r="O133" s="10" t="inlineStr">
        <x:is>
          <x:t xml:space="preserve">-53.112173, -71.015269</x:t>
        </x:is>
      </x:c>
      <x:c r="P133" s="9" t="inlineStr">
        <x:is>
          <x:t xml:space="preserve">Segunda vivienda</x:t>
        </x:is>
      </x:c>
      <x:c r="Q133" s="9" t="inlineStr">
        <x:is>
          <x:t xml:space="preserve">Entregado</x:t>
        </x:is>
      </x:c>
      <x:c r="R133" s="9" t="inlineStr">
        <x:is>
          <x:t xml:space="preserve">SIP</x:t>
        </x:is>
      </x:c>
      <x:c r="S133" s="9" t="inlineStr">
        <x:is>
          <x:t xml:space="preserve">TES-0132</x:t>
        </x:is>
      </x:c>
    </x:row>
    <x:row r="134">
      <x:c r="A134" s="9" t="inlineStr">
        <x:is>
          <x:t xml:space="preserve">PRO-0133</x:t>
        </x:is>
      </x:c>
      <x:c r="B134" s="9" t="inlineStr">
        <x:is>
          <x:t xml:space="preserve">EMP-045</x:t>
        </x:is>
      </x:c>
      <x:c r="C134" s="9" t="inlineStr">
        <x:is>
          <x:t xml:space="preserve">MOD-0224</x:t>
        </x:is>
      </x:c>
      <x:c r="D134" s="9" t="inlineStr">
        <x:is>
          <x:t xml:space="preserve">Altos de Maipo 12</x:t>
        </x:is>
      </x:c>
      <x:c r="E134" s="9" t="inlineStr">
        <x:is>
          <x:t xml:space="preserve">Sí</x:t>
        </x:is>
      </x:c>
      <x:c r="F134" s="9" t="inlineStr">
        <x:is>
          <x:t xml:space="preserve">Florencia Reyes Rojas</x:t>
        </x:is>
      </x:c>
      <x:c r="G134" s="16" t="n">
        <x:v>45101</x:v>
      </x:c>
      <x:c r="H134" s="12" t="n">
        <x:v>143.5</x:v>
      </x:c>
      <x:c r="I134" s="9" t="inlineStr">
        <x:is>
          <x:t xml:space="preserve">Sendero Parque Industrial Sur 1742</x:t>
        </x:is>
      </x:c>
      <x:c r="J134" s="9" t="inlineStr">
        <x:is>
          <x:t xml:space="preserve">Puerto Natales</x:t>
        </x:is>
      </x:c>
      <x:c r="K134" s="9" t="inlineStr">
        <x:is>
          <x:t xml:space="preserve">Puerto Natales</x:t>
        </x:is>
      </x:c>
      <x:c r="L134" s="9" t="inlineStr">
        <x:is>
          <x:t xml:space="preserve">Magallanes y de la Antártica Chilena</x:t>
        </x:is>
      </x:c>
      <x:c r="M134" s="11" t="n">
        <x:v>-51.553523</x:v>
      </x:c>
      <x:c r="N134" s="11" t="n">
        <x:v>-72.445932</x:v>
      </x:c>
      <x:c r="O134" s="10" t="inlineStr">
        <x:is>
          <x:t xml:space="preserve">-51.553523, -72.445932</x:t>
        </x:is>
      </x:c>
      <x:c r="P134" s="9" t="inlineStr">
        <x:is>
          <x:t xml:space="preserve">Habitacional</x:t>
        </x:is>
      </x:c>
      <x:c r="Q134" s="9" t="inlineStr">
        <x:is>
          <x:t xml:space="preserve">Entregado</x:t>
        </x:is>
      </x:c>
      <x:c r="R134" s="9" t="inlineStr">
        <x:is>
          <x:t xml:space="preserve">MODULAR_TIMBER</x:t>
        </x:is>
      </x:c>
      <x:c r="S134" s="9" t="inlineStr">
        <x:is>
          <x:t xml:space="preserve">TES-0133</x:t>
        </x:is>
      </x:c>
    </x:row>
    <x:row r="135">
      <x:c r="A135" s="9" t="inlineStr">
        <x:is>
          <x:t xml:space="preserve">PRO-0134</x:t>
        </x:is>
      </x:c>
      <x:c r="B135" s="9" t="inlineStr">
        <x:is>
          <x:t xml:space="preserve">EMP-045</x:t>
        </x:is>
      </x:c>
      <x:c r="C135" s="9" t="inlineStr">
        <x:is>
          <x:t xml:space="preserve">MOD-0225</x:t>
        </x:is>
      </x:c>
      <x:c r="D135" s="9" t="inlineStr">
        <x:is>
          <x:t xml:space="preserve">Condominio Calafquén 22</x:t>
        </x:is>
      </x:c>
      <x:c r="E135" s="9" t="inlineStr">
        <x:is>
          <x:t xml:space="preserve">Sí</x:t>
        </x:is>
      </x:c>
      <x:c r="F135" s="9" t="inlineStr">
        <x:is>
          <x:t xml:space="preserve">Trinidad Núñez Campos</x:t>
        </x:is>
      </x:c>
      <x:c r="G135" s="16" t="n">
        <x:v>45396</x:v>
      </x:c>
      <x:c r="H135" s="12" t="n">
        <x:v>205.3</x:v>
      </x:c>
      <x:c r="I135" s="9" t="inlineStr">
        <x:is>
          <x:t xml:space="preserve">Pasaje Las Bandurrias 167</x:t>
        </x:is>
      </x:c>
      <x:c r="J135" s="9" t="inlineStr">
        <x:is>
          <x:t xml:space="preserve">Puerto Natales</x:t>
        </x:is>
      </x:c>
      <x:c r="K135" s="9" t="inlineStr">
        <x:is>
          <x:t xml:space="preserve">Puerto Natales</x:t>
        </x:is>
      </x:c>
      <x:c r="L135" s="9" t="inlineStr">
        <x:is>
          <x:t xml:space="preserve">Magallanes y de la Antártica Chilena</x:t>
        </x:is>
      </x:c>
      <x:c r="M135" s="11" t="n">
        <x:v>-51.35124</x:v>
      </x:c>
      <x:c r="N135" s="11" t="n">
        <x:v>-72.782684</x:v>
      </x:c>
      <x:c r="O135" s="10" t="inlineStr">
        <x:is>
          <x:t xml:space="preserve">-51.35124, -72.782684</x:t>
        </x:is>
      </x:c>
      <x:c r="P135" s="9" t="inlineStr">
        <x:is>
          <x:t xml:space="preserve">Habitacional</x:t>
        </x:is>
      </x:c>
      <x:c r="Q135" s="9" t="inlineStr">
        <x:is>
          <x:t xml:space="preserve">Entregado</x:t>
        </x:is>
      </x:c>
      <x:c r="R135" s="9" t="inlineStr">
        <x:is>
          <x:t xml:space="preserve">HYBRID_MODULAR</x:t>
        </x:is>
      </x:c>
      <x:c r="S135" s="9" t="inlineStr">
        <x:is>
          <x:t xml:space="preserve">TES-0134</x:t>
        </x:is>
      </x:c>
    </x:row>
    <x:row r="136">
      <x:c r="A136" s="9" t="inlineStr">
        <x:is>
          <x:t xml:space="preserve">PRO-0135</x:t>
        </x:is>
      </x:c>
      <x:c r="B136" s="9" t="inlineStr">
        <x:is>
          <x:t xml:space="preserve">EMP-045</x:t>
        </x:is>
      </x:c>
      <x:c r="C136" s="9" t="inlineStr">
        <x:is>
          <x:t xml:space="preserve">MOD-0221</x:t>
        </x:is>
      </x:c>
      <x:c r="D136" s="9" t="inlineStr">
        <x:is>
          <x:t xml:space="preserve">Loteo Panguipulli 22</x:t>
        </x:is>
      </x:c>
      <x:c r="E136" s="9" t="inlineStr">
        <x:is>
          <x:t xml:space="preserve">Sí</x:t>
        </x:is>
      </x:c>
      <x:c r="F136" s="9" t="inlineStr">
        <x:is>
          <x:t xml:space="preserve">Valentina Morales Mella</x:t>
        </x:is>
      </x:c>
      <x:c r="G136" s="16" t="n">
        <x:v>44414</x:v>
      </x:c>
      <x:c r="H136" s="12" t="n">
        <x:v>50.8</x:v>
      </x:c>
      <x:c r="I136" s="9" t="inlineStr">
        <x:is>
          <x:t xml:space="preserve">Sendero Río Claro 1296</x:t>
        </x:is>
      </x:c>
      <x:c r="J136" s="9" t="inlineStr">
        <x:is>
          <x:t xml:space="preserve">Puerto Natales</x:t>
        </x:is>
      </x:c>
      <x:c r="K136" s="9" t="inlineStr">
        <x:is>
          <x:t xml:space="preserve">Puerto Natales</x:t>
        </x:is>
      </x:c>
      <x:c r="L136" s="9" t="inlineStr">
        <x:is>
          <x:t xml:space="preserve">Magallanes y de la Antártica Chilena</x:t>
        </x:is>
      </x:c>
      <x:c r="M136" s="11" t="n">
        <x:v>-51.9422</x:v>
      </x:c>
      <x:c r="N136" s="11" t="n">
        <x:v>-72.72882799999999</x:v>
      </x:c>
      <x:c r="O136" s="10" t="inlineStr">
        <x:is>
          <x:t xml:space="preserve">-51.9422, -72.728828</x:t>
        </x:is>
      </x:c>
      <x:c r="P136" s="9" t="inlineStr">
        <x:is>
          <x:t xml:space="preserve">Habitacional</x:t>
        </x:is>
      </x:c>
      <x:c r="Q136" s="9" t="inlineStr">
        <x:is>
          <x:t xml:space="preserve">Entregado</x:t>
        </x:is>
      </x:c>
      <x:c r="R136" s="9" t="inlineStr">
        <x:is>
          <x:t xml:space="preserve">STEEL_FRAME</x:t>
        </x:is>
      </x:c>
      <x:c r="S136" s="9" t="inlineStr">
        <x:is>
          <x:t xml:space="preserve">TES-0135</x:t>
        </x:is>
      </x:c>
    </x:row>
    <x:row r="137">
      <x:c r="A137" s="9" t="inlineStr">
        <x:is>
          <x:t xml:space="preserve">PRO-0136</x:t>
        </x:is>
      </x:c>
      <x:c r="B137" s="9" t="inlineStr">
        <x:is>
          <x:t xml:space="preserve">EMP-046</x:t>
        </x:is>
      </x:c>
      <x:c r="C137" s="9" t="inlineStr">
        <x:is>
          <x:t xml:space="preserve">MOD-0229</x:t>
        </x:is>
      </x:c>
      <x:c r="D137" s="9" t="inlineStr">
        <x:is>
          <x:t xml:space="preserve">Parcela Aysén 18</x:t>
        </x:is>
      </x:c>
      <x:c r="E137" s="9" t="inlineStr">
        <x:is>
          <x:t xml:space="preserve">Sí</x:t>
        </x:is>
      </x:c>
      <x:c r="F137" s="9" t="inlineStr">
        <x:is>
          <x:t xml:space="preserve">Nicolás Tapia Tapia</x:t>
        </x:is>
      </x:c>
      <x:c r="G137" s="16" t="n">
        <x:v>45829</x:v>
      </x:c>
      <x:c r="H137" s="12" t="n">
        <x:v>135.2</x:v>
      </x:c>
      <x:c r="I137" s="9" t="inlineStr">
        <x:is>
          <x:t xml:space="preserve">Calle Los Volcanes 1644</x:t>
        </x:is>
      </x:c>
      <x:c r="J137" s="9" t="inlineStr">
        <x:is>
          <x:t xml:space="preserve">Puerto Varas</x:t>
        </x:is>
      </x:c>
      <x:c r="K137" s="9" t="inlineStr">
        <x:is>
          <x:t xml:space="preserve">Puerto Varas</x:t>
        </x:is>
      </x:c>
      <x:c r="L137" s="9" t="inlineStr">
        <x:is>
          <x:t xml:space="preserve">Los Lagos</x:t>
        </x:is>
      </x:c>
      <x:c r="M137" s="11" t="n">
        <x:v>-41.446917</x:v>
      </x:c>
      <x:c r="N137" s="11" t="n">
        <x:v>-73.22189</x:v>
      </x:c>
      <x:c r="O137" s="10" t="inlineStr">
        <x:is>
          <x:t xml:space="preserve">-41.446917, -73.22189</x:t>
        </x:is>
      </x:c>
      <x:c r="P137" s="9" t="inlineStr">
        <x:is>
          <x:t xml:space="preserve">Parcela</x:t>
        </x:is>
      </x:c>
      <x:c r="Q137" s="9" t="inlineStr">
        <x:is>
          <x:t xml:space="preserve">Postventa cerrada</x:t>
        </x:is>
      </x:c>
      <x:c r="R137" s="9" t="inlineStr">
        <x:is>
          <x:t xml:space="preserve">STEEL_FRAME</x:t>
        </x:is>
      </x:c>
      <x:c r="S137" s="9" t="inlineStr">
        <x:is>
          <x:t xml:space="preserve">TES-0136</x:t>
        </x:is>
      </x:c>
    </x:row>
    <x:row r="138">
      <x:c r="A138" s="9" t="inlineStr">
        <x:is>
          <x:t xml:space="preserve">PRO-0137</x:t>
        </x:is>
      </x:c>
      <x:c r="B138" s="9" t="inlineStr">
        <x:is>
          <x:t xml:space="preserve">EMP-046</x:t>
        </x:is>
      </x:c>
      <x:c r="C138" s="9" t="inlineStr">
        <x:is>
          <x:t xml:space="preserve">MOD-0227</x:t>
        </x:is>
      </x:c>
      <x:c r="D138" s="9" t="inlineStr">
        <x:is>
          <x:t xml:space="preserve">Altos de Maipo 10</x:t>
        </x:is>
      </x:c>
      <x:c r="E138" s="9" t="inlineStr">
        <x:is>
          <x:t xml:space="preserve">Sí</x:t>
        </x:is>
      </x:c>
      <x:c r="F138" s="9" t="inlineStr">
        <x:is>
          <x:t xml:space="preserve">Renata Pino Leiva</x:t>
        </x:is>
      </x:c>
      <x:c r="G138" s="16" t="n">
        <x:v>44379</x:v>
      </x:c>
      <x:c r="H138" s="12" t="n">
        <x:v>76.2</x:v>
      </x:c>
      <x:c r="I138" s="9" t="inlineStr">
        <x:is>
          <x:t xml:space="preserve">Parque Nueva Esperanza 1335</x:t>
        </x:is>
      </x:c>
      <x:c r="J138" s="9" t="inlineStr">
        <x:is>
          <x:t xml:space="preserve">Puerto Varas</x:t>
        </x:is>
      </x:c>
      <x:c r="K138" s="9" t="inlineStr">
        <x:is>
          <x:t xml:space="preserve">Puerto Varas</x:t>
        </x:is>
      </x:c>
      <x:c r="L138" s="9" t="inlineStr">
        <x:is>
          <x:t xml:space="preserve">Los Lagos</x:t>
        </x:is>
      </x:c>
      <x:c r="M138" s="11" t="n">
        <x:v>-41.449118</x:v>
      </x:c>
      <x:c r="N138" s="11" t="n">
        <x:v>-72.984016</x:v>
      </x:c>
      <x:c r="O138" s="10" t="inlineStr">
        <x:is>
          <x:t xml:space="preserve">-41.449118, -72.984016</x:t>
        </x:is>
      </x:c>
      <x:c r="P138" s="9" t="inlineStr">
        <x:is>
          <x:t xml:space="preserve">Segunda vivienda</x:t>
        </x:is>
      </x:c>
      <x:c r="Q138" s="9" t="inlineStr">
        <x:is>
          <x:t xml:space="preserve">Postventa cerrada</x:t>
        </x:is>
      </x:c>
      <x:c r="R138" s="9" t="inlineStr">
        <x:is>
          <x:t xml:space="preserve">SIP</x:t>
        </x:is>
      </x:c>
      <x:c r="S138" s="9" t="inlineStr">
        <x:is>
          <x:t xml:space="preserve">TES-0137</x:t>
        </x:is>
      </x:c>
    </x:row>
    <x:row r="139">
      <x:c r="A139" s="9" t="inlineStr">
        <x:is>
          <x:t xml:space="preserve">PRO-0138</x:t>
        </x:is>
      </x:c>
      <x:c r="B139" s="9" t="inlineStr">
        <x:is>
          <x:t xml:space="preserve">EMP-046</x:t>
        </x:is>
      </x:c>
      <x:c r="C139" s="9" t="inlineStr">
        <x:is>
          <x:t xml:space="preserve">MOD-0227</x:t>
        </x:is>
      </x:c>
      <x:c r="D139" s="9" t="inlineStr">
        <x:is>
          <x:t xml:space="preserve">Terraza Panguipulli 14</x:t>
        </x:is>
      </x:c>
      <x:c r="E139" s="9" t="inlineStr">
        <x:is>
          <x:t xml:space="preserve">Sí</x:t>
        </x:is>
      </x:c>
      <x:c r="F139" s="9" t="inlineStr">
        <x:is>
          <x:t xml:space="preserve">Felipe Campos Contreras</x:t>
        </x:is>
      </x:c>
      <x:c r="G139" s="16" t="n">
        <x:v>45901</x:v>
      </x:c>
      <x:c r="H139" s="12" t="n">
        <x:v>79.8</x:v>
      </x:c>
      <x:c r="I139" s="9" t="inlineStr">
        <x:is>
          <x:t xml:space="preserve">Parque Ruta Modular 559</x:t>
        </x:is>
      </x:c>
      <x:c r="J139" s="9" t="inlineStr">
        <x:is>
          <x:t xml:space="preserve">Puerto Varas</x:t>
        </x:is>
      </x:c>
      <x:c r="K139" s="9" t="inlineStr">
        <x:is>
          <x:t xml:space="preserve">Puerto Varas</x:t>
        </x:is>
      </x:c>
      <x:c r="L139" s="9" t="inlineStr">
        <x:is>
          <x:t xml:space="preserve">Los Lagos</x:t>
        </x:is>
      </x:c>
      <x:c r="M139" s="11" t="n">
        <x:v>-41.454964</x:v>
      </x:c>
      <x:c r="N139" s="11" t="n">
        <x:v>-72.944158</x:v>
      </x:c>
      <x:c r="O139" s="10" t="inlineStr">
        <x:is>
          <x:t xml:space="preserve">-41.454964, -72.944158</x:t>
        </x:is>
      </x:c>
      <x:c r="P139" s="9" t="inlineStr">
        <x:is>
          <x:t xml:space="preserve">Habitacional</x:t>
        </x:is>
      </x:c>
      <x:c r="Q139" s="9" t="inlineStr">
        <x:is>
          <x:t xml:space="preserve">Postventa cerrada</x:t>
        </x:is>
      </x:c>
      <x:c r="R139" s="9" t="inlineStr">
        <x:is>
          <x:t xml:space="preserve">SIP</x:t>
        </x:is>
      </x:c>
      <x:c r="S139" s="9" t="inlineStr">
        <x:is>
          <x:t xml:space="preserve">TES-0138</x:t>
        </x:is>
      </x:c>
    </x:row>
    <x:row r="140">
      <x:c r="A140" s="9" t="inlineStr">
        <x:is>
          <x:t xml:space="preserve">PRO-0139</x:t>
        </x:is>
      </x:c>
      <x:c r="B140" s="9" t="inlineStr">
        <x:is>
          <x:t xml:space="preserve">EMP-047</x:t>
        </x:is>
      </x:c>
      <x:c r="C140" s="9" t="inlineStr">
        <x:is>
          <x:t xml:space="preserve">MOD-0234</x:t>
        </x:is>
      </x:c>
      <x:c r="D140" s="9" t="inlineStr">
        <x:is>
          <x:t xml:space="preserve">Casa Aysén 10</x:t>
        </x:is>
      </x:c>
      <x:c r="E140" s="9" t="inlineStr">
        <x:is>
          <x:t xml:space="preserve">Sí</x:t>
        </x:is>
      </x:c>
      <x:c r="F140" s="9" t="inlineStr">
        <x:is>
          <x:t xml:space="preserve">Iván Escobar Soto</x:t>
        </x:is>
      </x:c>
      <x:c r="G140" s="16" t="n">
        <x:v>44279</x:v>
      </x:c>
      <x:c r="H140" s="12" t="n">
        <x:v>122</x:v>
      </x:c>
      <x:c r="I140" s="9" t="inlineStr">
        <x:is>
          <x:t xml:space="preserve">Pasaje Ruta Modular 1089</x:t>
        </x:is>
      </x:c>
      <x:c r="J140" s="9" t="inlineStr">
        <x:is>
          <x:t xml:space="preserve">Los Ángeles</x:t>
        </x:is>
      </x:c>
      <x:c r="K140" s="9" t="inlineStr">
        <x:is>
          <x:t xml:space="preserve">Los Ángeles</x:t>
        </x:is>
      </x:c>
      <x:c r="L140" s="9" t="inlineStr">
        <x:is>
          <x:t xml:space="preserve">Biobío</x:t>
        </x:is>
      </x:c>
      <x:c r="M140" s="11" t="n">
        <x:v>-37.165081</x:v>
      </x:c>
      <x:c r="N140" s="11" t="n">
        <x:v>-72.20297100000001</x:v>
      </x:c>
      <x:c r="O140" s="10" t="inlineStr">
        <x:is>
          <x:t xml:space="preserve">-37.165081, -72.202971</x:t>
        </x:is>
      </x:c>
      <x:c r="P140" s="9" t="inlineStr">
        <x:is>
          <x:t xml:space="preserve">Segunda vivienda</x:t>
        </x:is>
      </x:c>
      <x:c r="Q140" s="9" t="inlineStr">
        <x:is>
          <x:t xml:space="preserve">Postventa cerrada</x:t>
        </x:is>
      </x:c>
      <x:c r="R140" s="9" t="inlineStr">
        <x:is>
          <x:t xml:space="preserve">CONTAINER</x:t>
        </x:is>
      </x:c>
      <x:c r="S140" s="9" t="inlineStr">
        <x:is>
          <x:t xml:space="preserve">TES-0139</x:t>
        </x:is>
      </x:c>
    </x:row>
    <x:row r="141">
      <x:c r="A141" s="9" t="inlineStr">
        <x:is>
          <x:t xml:space="preserve">PRO-0140</x:t>
        </x:is>
      </x:c>
      <x:c r="B141" s="9" t="inlineStr">
        <x:is>
          <x:t xml:space="preserve">EMP-047</x:t>
        </x:is>
      </x:c>
      <x:c r="C141" s="9" t="inlineStr">
        <x:is>
          <x:t xml:space="preserve">MOD-0232</x:t>
        </x:is>
      </x:c>
      <x:c r="D141" s="9" t="inlineStr">
        <x:is>
          <x:t xml:space="preserve">Mirador Baker 14</x:t>
        </x:is>
      </x:c>
      <x:c r="E141" s="9" t="inlineStr">
        <x:is>
          <x:t xml:space="preserve">Sí</x:t>
        </x:is>
      </x:c>
      <x:c r="F141" s="9" t="inlineStr">
        <x:is>
          <x:t xml:space="preserve">Martín Vargas Carrasco</x:t>
        </x:is>
      </x:c>
      <x:c r="G141" s="16" t="n">
        <x:v>45920</x:v>
      </x:c>
      <x:c r="H141" s="12" t="n">
        <x:v>70.7</x:v>
      </x:c>
      <x:c r="I141" s="9" t="inlineStr">
        <x:is>
          <x:t xml:space="preserve">Camino Taller del Pacífico 1061</x:t>
        </x:is>
      </x:c>
      <x:c r="J141" s="9" t="inlineStr">
        <x:is>
          <x:t xml:space="preserve">Los Ángeles</x:t>
        </x:is>
      </x:c>
      <x:c r="K141" s="9" t="inlineStr">
        <x:is>
          <x:t xml:space="preserve">Los Ángeles</x:t>
        </x:is>
      </x:c>
      <x:c r="L141" s="9" t="inlineStr">
        <x:is>
          <x:t xml:space="preserve">Biobío</x:t>
        </x:is>
      </x:c>
      <x:c r="M141" s="11" t="n">
        <x:v>-37.546959</x:v>
      </x:c>
      <x:c r="N141" s="11" t="n">
        <x:v>-72.278504</x:v>
      </x:c>
      <x:c r="O141" s="10" t="inlineStr">
        <x:is>
          <x:t xml:space="preserve">-37.546959, -72.278504</x:t>
        </x:is>
      </x:c>
      <x:c r="P141" s="9" t="inlineStr">
        <x:is>
          <x:t xml:space="preserve">Segunda vivienda</x:t>
        </x:is>
      </x:c>
      <x:c r="Q141" s="9" t="inlineStr">
        <x:is>
          <x:t xml:space="preserve">Entregado</x:t>
        </x:is>
      </x:c>
      <x:c r="R141" s="9" t="inlineStr">
        <x:is>
          <x:t xml:space="preserve">STEEL_FRAME</x:t>
        </x:is>
      </x:c>
      <x:c r="S141" s="9" t="inlineStr">
        <x:is>
          <x:t xml:space="preserve">TES-0140</x:t>
        </x:is>
      </x:c>
    </x:row>
    <x:row r="142">
      <x:c r="A142" s="9" t="inlineStr">
        <x:is>
          <x:t xml:space="preserve">PRO-0141</x:t>
        </x:is>
      </x:c>
      <x:c r="B142" s="9" t="inlineStr">
        <x:is>
          <x:t xml:space="preserve">EMP-047</x:t>
        </x:is>
      </x:c>
      <x:c r="C142" s="9" t="inlineStr">
        <x:is>
          <x:t xml:space="preserve">MOD-0235</x:t>
        </x:is>
      </x:c>
      <x:c r="D142" s="9" t="inlineStr">
        <x:is>
          <x:t xml:space="preserve">Altos de Cochamó 2</x:t>
        </x:is>
      </x:c>
      <x:c r="E142" s="9" t="inlineStr">
        <x:is>
          <x:t xml:space="preserve">Sí</x:t>
        </x:is>
      </x:c>
      <x:c r="F142" s="9" t="inlineStr">
        <x:is>
          <x:t xml:space="preserve">Agustín Alarcón Navarro</x:t>
        </x:is>
      </x:c>
      <x:c r="G142" s="16" t="n">
        <x:v>45396</x:v>
      </x:c>
      <x:c r="H142" s="12" t="n">
        <x:v>184.4</x:v>
      </x:c>
      <x:c r="I142" s="9" t="inlineStr">
        <x:is>
          <x:t xml:space="preserve">Sendero Los Coigües 1620</x:t>
        </x:is>
      </x:c>
      <x:c r="J142" s="9" t="inlineStr">
        <x:is>
          <x:t xml:space="preserve">Los Ángeles</x:t>
        </x:is>
      </x:c>
      <x:c r="K142" s="9" t="inlineStr">
        <x:is>
          <x:t xml:space="preserve">Los Ángeles</x:t>
        </x:is>
      </x:c>
      <x:c r="L142" s="9" t="inlineStr">
        <x:is>
          <x:t xml:space="preserve">Biobío</x:t>
        </x:is>
      </x:c>
      <x:c r="M142" s="11" t="n">
        <x:v>-37.49396</x:v>
      </x:c>
      <x:c r="N142" s="11" t="n">
        <x:v>-72.59672399999999</x:v>
      </x:c>
      <x:c r="O142" s="10" t="inlineStr">
        <x:is>
          <x:t xml:space="preserve">-37.49396, -72.596724</x:t>
        </x:is>
      </x:c>
      <x:c r="P142" s="9" t="inlineStr">
        <x:is>
          <x:t xml:space="preserve">Habitacional</x:t>
        </x:is>
      </x:c>
      <x:c r="Q142" s="9" t="inlineStr">
        <x:is>
          <x:t xml:space="preserve">Postventa cerrada</x:t>
        </x:is>
      </x:c>
      <x:c r="R142" s="9" t="inlineStr">
        <x:is>
          <x:t xml:space="preserve">HYBRID_MODULAR</x:t>
        </x:is>
      </x:c>
      <x:c r="S142" s="9" t="inlineStr">
        <x:is>
          <x:t xml:space="preserve">TES-0141</x:t>
        </x:is>
      </x:c>
    </x:row>
    <x:row r="143">
      <x:c r="A143" s="9" t="inlineStr">
        <x:is>
          <x:t xml:space="preserve">PRO-0142</x:t>
        </x:is>
      </x:c>
      <x:c r="B143" s="9" t="inlineStr">
        <x:is>
          <x:t xml:space="preserve">EMP-048</x:t>
        </x:is>
      </x:c>
      <x:c r="C143" s="9" t="inlineStr">
        <x:is>
          <x:t xml:space="preserve">MOD-0239</x:t>
        </x:is>
      </x:c>
      <x:c r="D143" s="9" t="inlineStr">
        <x:is>
          <x:t xml:space="preserve">Mirador Panguipulli 9</x:t>
        </x:is>
      </x:c>
      <x:c r="E143" s="9" t="inlineStr">
        <x:is>
          <x:t xml:space="preserve">Sí</x:t>
        </x:is>
      </x:c>
      <x:c r="F143" s="9" t="inlineStr">
        <x:is>
          <x:t xml:space="preserve">Esteban Campos Bustos</x:t>
        </x:is>
      </x:c>
      <x:c r="G143" s="16" t="n">
        <x:v>45474</x:v>
      </x:c>
      <x:c r="H143" s="12" t="n">
        <x:v>164.6</x:v>
      </x:c>
      <x:c r="I143" s="9" t="inlineStr">
        <x:is>
          <x:t xml:space="preserve">Pasaje La Montaña 389</x:t>
        </x:is>
      </x:c>
      <x:c r="J143" s="9" t="inlineStr">
        <x:is>
          <x:t xml:space="preserve">Machalí</x:t>
        </x:is>
      </x:c>
      <x:c r="K143" s="9" t="inlineStr">
        <x:is>
          <x:t xml:space="preserve">Rancagua</x:t>
        </x:is>
      </x:c>
      <x:c r="L143" s="9" t="inlineStr">
        <x:is>
          <x:t xml:space="preserve">O'Higgins</x:t>
        </x:is>
      </x:c>
      <x:c r="M143" s="11" t="n">
        <x:v>-34.352519</x:v>
      </x:c>
      <x:c r="N143" s="11" t="n">
        <x:v>-70.316014</x:v>
      </x:c>
      <x:c r="O143" s="10" t="inlineStr">
        <x:is>
          <x:t xml:space="preserve">-34.352519, -70.316014</x:t>
        </x:is>
      </x:c>
      <x:c r="P143" s="9" t="inlineStr">
        <x:is>
          <x:t xml:space="preserve">Habitacional</x:t>
        </x:is>
      </x:c>
      <x:c r="Q143" s="9" t="inlineStr">
        <x:is>
          <x:t xml:space="preserve">Postventa cerrada</x:t>
        </x:is>
      </x:c>
      <x:c r="R143" s="9" t="inlineStr">
        <x:is>
          <x:t xml:space="preserve">HYBRID_MODULAR</x:t>
        </x:is>
      </x:c>
      <x:c r="S143" s="9" t="inlineStr">
        <x:is>
          <x:t xml:space="preserve">TES-0142</x:t>
        </x:is>
      </x:c>
    </x:row>
    <x:row r="144">
      <x:c r="A144" s="9" t="inlineStr">
        <x:is>
          <x:t xml:space="preserve">PRO-0143</x:t>
        </x:is>
      </x:c>
      <x:c r="B144" s="9" t="inlineStr">
        <x:is>
          <x:t xml:space="preserve">EMP-048</x:t>
        </x:is>
      </x:c>
      <x:c r="C144" s="9" t="inlineStr">
        <x:is>
          <x:t xml:space="preserve">MOD-0239</x:t>
        </x:is>
      </x:c>
      <x:c r="D144" s="9" t="inlineStr">
        <x:is>
          <x:t xml:space="preserve">Terraza Elqui 23</x:t>
        </x:is>
      </x:c>
      <x:c r="E144" s="9" t="inlineStr">
        <x:is>
          <x:t xml:space="preserve">Sí</x:t>
        </x:is>
      </x:c>
      <x:c r="F144" s="9" t="inlineStr">
        <x:is>
          <x:t xml:space="preserve">Florencia Pérez Araya</x:t>
        </x:is>
      </x:c>
      <x:c r="G144" s="16" t="n">
        <x:v>45540</x:v>
      </x:c>
      <x:c r="H144" s="12" t="n">
        <x:v>157.9</x:v>
      </x:c>
      <x:c r="I144" s="9" t="inlineStr">
        <x:is>
          <x:t xml:space="preserve">Sendero Nueva Esperanza 1276</x:t>
        </x:is>
      </x:c>
      <x:c r="J144" s="9" t="inlineStr">
        <x:is>
          <x:t xml:space="preserve">Machalí</x:t>
        </x:is>
      </x:c>
      <x:c r="K144" s="9" t="inlineStr">
        <x:is>
          <x:t xml:space="preserve">Rancagua</x:t>
        </x:is>
      </x:c>
      <x:c r="L144" s="9" t="inlineStr">
        <x:is>
          <x:t xml:space="preserve">O'Higgins</x:t>
        </x:is>
      </x:c>
      <x:c r="M144" s="11" t="n">
        <x:v>-34.107189</x:v>
      </x:c>
      <x:c r="N144" s="11" t="n">
        <x:v>-70.35054599999999</x:v>
      </x:c>
      <x:c r="O144" s="10" t="inlineStr">
        <x:is>
          <x:t xml:space="preserve">-34.107189, -70.350546</x:t>
        </x:is>
      </x:c>
      <x:c r="P144" s="9" t="inlineStr">
        <x:is>
          <x:t xml:space="preserve">Segunda vivienda</x:t>
        </x:is>
      </x:c>
      <x:c r="Q144" s="9" t="inlineStr">
        <x:is>
          <x:t xml:space="preserve">Entregado</x:t>
        </x:is>
      </x:c>
      <x:c r="R144" s="9" t="inlineStr">
        <x:is>
          <x:t xml:space="preserve">HYBRID_MODULAR</x:t>
        </x:is>
      </x:c>
      <x:c r="S144" s="9" t="inlineStr">
        <x:is>
          <x:t xml:space="preserve">TES-0143</x:t>
        </x:is>
      </x:c>
    </x:row>
    <x:row r="145">
      <x:c r="A145" s="9" t="inlineStr">
        <x:is>
          <x:t xml:space="preserve">PRO-0144</x:t>
        </x:is>
      </x:c>
      <x:c r="B145" s="9" t="inlineStr">
        <x:is>
          <x:t xml:space="preserve">EMP-048</x:t>
        </x:is>
      </x:c>
      <x:c r="C145" s="9" t="inlineStr">
        <x:is>
          <x:t xml:space="preserve">MOD-0236</x:t>
        </x:is>
      </x:c>
      <x:c r="D145" s="9" t="inlineStr">
        <x:is>
          <x:t xml:space="preserve">Bosques de Villarrica 28</x:t>
        </x:is>
      </x:c>
      <x:c r="E145" s="9" t="inlineStr">
        <x:is>
          <x:t xml:space="preserve">Sí</x:t>
        </x:is>
      </x:c>
      <x:c r="F145" s="9" t="inlineStr">
        <x:is>
          <x:t xml:space="preserve">Gabriel Silva González</x:t>
        </x:is>
      </x:c>
      <x:c r="G145" s="16" t="n">
        <x:v>45622</x:v>
      </x:c>
      <x:c r="H145" s="12" t="n">
        <x:v>51.7</x:v>
      </x:c>
      <x:c r="I145" s="9" t="inlineStr">
        <x:is>
          <x:t xml:space="preserve">Pasaje El Maitén 505</x:t>
        </x:is>
      </x:c>
      <x:c r="J145" s="9" t="inlineStr">
        <x:is>
          <x:t xml:space="preserve">Machalí</x:t>
        </x:is>
      </x:c>
      <x:c r="K145" s="9" t="inlineStr">
        <x:is>
          <x:t xml:space="preserve">Rancagua</x:t>
        </x:is>
      </x:c>
      <x:c r="L145" s="9" t="inlineStr">
        <x:is>
          <x:t xml:space="preserve">O'Higgins</x:t>
        </x:is>
      </x:c>
      <x:c r="M145" s="11" t="n">
        <x:v>-33.990145</x:v>
      </x:c>
      <x:c r="N145" s="11" t="n">
        <x:v>-70.812231</x:v>
      </x:c>
      <x:c r="O145" s="10" t="inlineStr">
        <x:is>
          <x:t xml:space="preserve">-33.990145, -70.812231</x:t>
        </x:is>
      </x:c>
      <x:c r="P145" s="9" t="inlineStr">
        <x:is>
          <x:t xml:space="preserve">Parcela</x:t>
        </x:is>
      </x:c>
      <x:c r="Q145" s="9" t="inlineStr">
        <x:is>
          <x:t xml:space="preserve">Entregado</x:t>
        </x:is>
      </x:c>
      <x:c r="R145" s="9" t="inlineStr">
        <x:is>
          <x:t xml:space="preserve">MODULAR_TIMBER</x:t>
        </x:is>
      </x:c>
      <x:c r="S145" s="9" t="inlineStr">
        <x:is>
          <x:t xml:space="preserve">TES-0144</x:t>
        </x:is>
      </x:c>
    </x:row>
    <x:row r="146">
      <x:c r="A146" s="9" t="inlineStr">
        <x:is>
          <x:t xml:space="preserve">PRO-0145</x:t>
        </x:is>
      </x:c>
      <x:c r="B146" s="9" t="inlineStr">
        <x:is>
          <x:t xml:space="preserve">EMP-049</x:t>
        </x:is>
      </x:c>
      <x:c r="C146" s="9" t="inlineStr">
        <x:is>
          <x:t xml:space="preserve">MOD-0244</x:t>
        </x:is>
      </x:c>
      <x:c r="D146" s="9" t="inlineStr">
        <x:is>
          <x:t xml:space="preserve">Parcela Natales 19</x:t>
        </x:is>
      </x:c>
      <x:c r="E146" s="9" t="inlineStr">
        <x:is>
          <x:t xml:space="preserve">Sí</x:t>
        </x:is>
      </x:c>
      <x:c r="F146" s="9" t="inlineStr">
        <x:is>
          <x:t xml:space="preserve">Ignacia Venegas Escobar</x:t>
        </x:is>
      </x:c>
      <x:c r="G146" s="16" t="n">
        <x:v>44241</x:v>
      </x:c>
      <x:c r="H146" s="12" t="n">
        <x:v>127.4</x:v>
      </x:c>
      <x:c r="I146" s="9" t="inlineStr">
        <x:is>
          <x:t xml:space="preserve">Sendero Ruta Modular 975</x:t>
        </x:is>
      </x:c>
      <x:c r="J146" s="9" t="inlineStr">
        <x:is>
          <x:t xml:space="preserve">La Unión</x:t>
        </x:is>
      </x:c>
      <x:c r="K146" s="9" t="inlineStr">
        <x:is>
          <x:t xml:space="preserve">La Unión</x:t>
        </x:is>
      </x:c>
      <x:c r="L146" s="9" t="inlineStr">
        <x:is>
          <x:t xml:space="preserve">Los Ríos</x:t>
        </x:is>
      </x:c>
      <x:c r="M146" s="11" t="n">
        <x:v>-40.071347</x:v>
      </x:c>
      <x:c r="N146" s="11" t="n">
        <x:v>-72.949668</x:v>
      </x:c>
      <x:c r="O146" s="10" t="inlineStr">
        <x:is>
          <x:t xml:space="preserve">-40.071347, -72.949668</x:t>
        </x:is>
      </x:c>
      <x:c r="P146" s="9" t="inlineStr">
        <x:is>
          <x:t xml:space="preserve">Habitacional + home office</x:t>
        </x:is>
      </x:c>
      <x:c r="Q146" s="9" t="inlineStr">
        <x:is>
          <x:t xml:space="preserve">Entregado</x:t>
        </x:is>
      </x:c>
      <x:c r="R146" s="9" t="inlineStr">
        <x:is>
          <x:t xml:space="preserve">SIP</x:t>
        </x:is>
      </x:c>
      <x:c r="S146" s="9" t="inlineStr">
        <x:is>
          <x:t xml:space="preserve">TES-0145</x:t>
        </x:is>
      </x:c>
    </x:row>
    <x:row r="147">
      <x:c r="A147" s="9" t="inlineStr">
        <x:is>
          <x:t xml:space="preserve">PRO-0146</x:t>
        </x:is>
      </x:c>
      <x:c r="B147" s="9" t="inlineStr">
        <x:is>
          <x:t xml:space="preserve">EMP-049</x:t>
        </x:is>
      </x:c>
      <x:c r="C147" s="9" t="inlineStr">
        <x:is>
          <x:t xml:space="preserve">MOD-0241</x:t>
        </x:is>
      </x:c>
      <x:c r="D147" s="9" t="inlineStr">
        <x:is>
          <x:t xml:space="preserve">Terraza Pelluhue 10</x:t>
        </x:is>
      </x:c>
      <x:c r="E147" s="9" t="inlineStr">
        <x:is>
          <x:t xml:space="preserve">Sí</x:t>
        </x:is>
      </x:c>
      <x:c r="F147" s="9" t="inlineStr">
        <x:is>
          <x:t xml:space="preserve">Julieta Pérez Contreras</x:t>
        </x:is>
      </x:c>
      <x:c r="G147" s="16" t="n">
        <x:v>45488</x:v>
      </x:c>
      <x:c r="H147" s="12" t="n">
        <x:v>50.9</x:v>
      </x:c>
      <x:c r="I147" s="9" t="inlineStr">
        <x:is>
          <x:t xml:space="preserve">Sendero Los Arrayanes 1195</x:t>
        </x:is>
      </x:c>
      <x:c r="J147" s="9" t="inlineStr">
        <x:is>
          <x:t xml:space="preserve">La Unión</x:t>
        </x:is>
      </x:c>
      <x:c r="K147" s="9" t="inlineStr">
        <x:is>
          <x:t xml:space="preserve">La Unión</x:t>
        </x:is>
      </x:c>
      <x:c r="L147" s="9" t="inlineStr">
        <x:is>
          <x:t xml:space="preserve">Los Ríos</x:t>
        </x:is>
      </x:c>
      <x:c r="M147" s="11" t="n">
        <x:v>-40.400786</x:v>
      </x:c>
      <x:c r="N147" s="11" t="n">
        <x:v>-73.17583500000001</x:v>
      </x:c>
      <x:c r="O147" s="10" t="inlineStr">
        <x:is>
          <x:t xml:space="preserve">-40.400786, -73.175835</x:t>
        </x:is>
      </x:c>
      <x:c r="P147" s="9" t="inlineStr">
        <x:is>
          <x:t xml:space="preserve">Habitacional</x:t>
        </x:is>
      </x:c>
      <x:c r="Q147" s="9" t="inlineStr">
        <x:is>
          <x:t xml:space="preserve">Postventa cerrada</x:t>
        </x:is>
      </x:c>
      <x:c r="R147" s="9" t="inlineStr">
        <x:is>
          <x:t xml:space="preserve">CONTAINER</x:t>
        </x:is>
      </x:c>
      <x:c r="S147" s="9" t="inlineStr">
        <x:is>
          <x:t xml:space="preserve">TES-0146</x:t>
        </x:is>
      </x:c>
    </x:row>
    <x:row r="148">
      <x:c r="A148" s="9" t="inlineStr">
        <x:is>
          <x:t xml:space="preserve">PRO-0147</x:t>
        </x:is>
      </x:c>
      <x:c r="B148" s="9" t="inlineStr">
        <x:is>
          <x:t xml:space="preserve">EMP-049</x:t>
        </x:is>
      </x:c>
      <x:c r="C148" s="9" t="inlineStr">
        <x:is>
          <x:t xml:space="preserve">MOD-0245</x:t>
        </x:is>
      </x:c>
      <x:c r="D148" s="9" t="inlineStr">
        <x:is>
          <x:t xml:space="preserve">Refugio Pelluhue 3</x:t>
        </x:is>
      </x:c>
      <x:c r="E148" s="9" t="inlineStr">
        <x:is>
          <x:t xml:space="preserve">Sí</x:t>
        </x:is>
      </x:c>
      <x:c r="F148" s="9" t="inlineStr">
        <x:is>
          <x:t xml:space="preserve">Ricardo Acuña Vargas</x:t>
        </x:is>
      </x:c>
      <x:c r="G148" s="16" t="n">
        <x:v>45869</x:v>
      </x:c>
      <x:c r="H148" s="12" t="n">
        <x:v>223.2</x:v>
      </x:c>
      <x:c r="I148" s="9" t="inlineStr">
        <x:is>
          <x:t xml:space="preserve">Av. Las Bandurrias 1190</x:t>
        </x:is>
      </x:c>
      <x:c r="J148" s="9" t="inlineStr">
        <x:is>
          <x:t xml:space="preserve">La Unión</x:t>
        </x:is>
      </x:c>
      <x:c r="K148" s="9" t="inlineStr">
        <x:is>
          <x:t xml:space="preserve">La Unión</x:t>
        </x:is>
      </x:c>
      <x:c r="L148" s="9" t="inlineStr">
        <x:is>
          <x:t xml:space="preserve">Los Ríos</x:t>
        </x:is>
      </x:c>
      <x:c r="M148" s="11" t="n">
        <x:v>-40.540704</x:v>
      </x:c>
      <x:c r="N148" s="11" t="n">
        <x:v>-73.424322</x:v>
      </x:c>
      <x:c r="O148" s="10" t="inlineStr">
        <x:is>
          <x:t xml:space="preserve">-40.540704, -73.424322</x:t>
        </x:is>
      </x:c>
      <x:c r="P148" s="9" t="inlineStr">
        <x:is>
          <x:t xml:space="preserve">Turismo</x:t>
        </x:is>
      </x:c>
      <x:c r="Q148" s="9" t="inlineStr">
        <x:is>
          <x:t xml:space="preserve">Postventa cerrada</x:t>
        </x:is>
      </x:c>
      <x:c r="R148" s="9" t="inlineStr">
        <x:is>
          <x:t xml:space="preserve">STEEL_FRAME</x:t>
        </x:is>
      </x:c>
      <x:c r="S148" s="9" t="inlineStr">
        <x:is>
          <x:t xml:space="preserve">TES-0147</x:t>
        </x:is>
      </x:c>
    </x:row>
    <x:row r="149">
      <x:c r="A149" s="9" t="inlineStr">
        <x:is>
          <x:t xml:space="preserve">PRO-0148</x:t>
        </x:is>
      </x:c>
      <x:c r="B149" s="9" t="inlineStr">
        <x:is>
          <x:t xml:space="preserve">EMP-050</x:t>
        </x:is>
      </x:c>
      <x:c r="C149" s="9" t="inlineStr">
        <x:is>
          <x:t xml:space="preserve">MOD-0250</x:t>
        </x:is>
      </x:c>
      <x:c r="D149" s="9" t="inlineStr">
        <x:is>
          <x:t xml:space="preserve">Condominio Baker 8</x:t>
        </x:is>
      </x:c>
      <x:c r="E149" s="9" t="inlineStr">
        <x:is>
          <x:t xml:space="preserve">Sí</x:t>
        </x:is>
      </x:c>
      <x:c r="F149" s="9" t="inlineStr">
        <x:is>
          <x:t xml:space="preserve">Paula Alarcón Bustos</x:t>
        </x:is>
      </x:c>
      <x:c r="G149" s="16" t="n">
        <x:v>45625</x:v>
      </x:c>
      <x:c r="H149" s="12" t="n">
        <x:v>177.2</x:v>
      </x:c>
      <x:c r="I149" s="9" t="inlineStr">
        <x:is>
          <x:t xml:space="preserve">Sendero El Estero 907</x:t>
        </x:is>
      </x:c>
      <x:c r="J149" s="9" t="inlineStr">
        <x:is>
          <x:t xml:space="preserve">Talcahuano</x:t>
        </x:is>
      </x:c>
      <x:c r="K149" s="9" t="inlineStr">
        <x:is>
          <x:t xml:space="preserve">Concepción</x:t>
        </x:is>
      </x:c>
      <x:c r="L149" s="9" t="inlineStr">
        <x:is>
          <x:t xml:space="preserve">Biobío</x:t>
        </x:is>
      </x:c>
      <x:c r="M149" s="11" t="n">
        <x:v>-36.889537</x:v>
      </x:c>
      <x:c r="N149" s="11" t="n">
        <x:v>-72.93482</x:v>
      </x:c>
      <x:c r="O149" s="10" t="inlineStr">
        <x:is>
          <x:t xml:space="preserve">-36.889537, -72.93482</x:t>
        </x:is>
      </x:c>
      <x:c r="P149" s="9" t="inlineStr">
        <x:is>
          <x:t xml:space="preserve">Parcela</x:t>
        </x:is>
      </x:c>
      <x:c r="Q149" s="9" t="inlineStr">
        <x:is>
          <x:t xml:space="preserve">Entregado</x:t>
        </x:is>
      </x:c>
      <x:c r="R149" s="9" t="inlineStr">
        <x:is>
          <x:t xml:space="preserve">HYBRID_MODULAR</x:t>
        </x:is>
      </x:c>
      <x:c r="S149" s="9" t="inlineStr">
        <x:is>
          <x:t xml:space="preserve">TES-0148</x:t>
        </x:is>
      </x:c>
    </x:row>
    <x:row r="150">
      <x:c r="A150" s="9" t="inlineStr">
        <x:is>
          <x:t xml:space="preserve">PRO-0149</x:t>
        </x:is>
      </x:c>
      <x:c r="B150" s="9" t="inlineStr">
        <x:is>
          <x:t xml:space="preserve">EMP-050</x:t>
        </x:is>
      </x:c>
      <x:c r="C150" s="9" t="inlineStr">
        <x:is>
          <x:t xml:space="preserve">MOD-0249</x:t>
        </x:is>
      </x:c>
      <x:c r="D150" s="9" t="inlineStr">
        <x:is>
          <x:t xml:space="preserve">Altos de Panguipulli 7</x:t>
        </x:is>
      </x:c>
      <x:c r="E150" s="9" t="inlineStr">
        <x:is>
          <x:t xml:space="preserve">Sí</x:t>
        </x:is>
      </x:c>
      <x:c r="F150" s="9" t="inlineStr">
        <x:is>
          <x:t xml:space="preserve">Martín Henríquez Tapia</x:t>
        </x:is>
      </x:c>
      <x:c r="G150" s="16" t="n">
        <x:v>45653</x:v>
      </x:c>
      <x:c r="H150" s="12" t="n">
        <x:v>132.1</x:v>
      </x:c>
      <x:c r="I150" s="9" t="inlineStr">
        <x:is>
          <x:t xml:space="preserve">Los Ruta Modular 1647</x:t>
        </x:is>
      </x:c>
      <x:c r="J150" s="9" t="inlineStr">
        <x:is>
          <x:t xml:space="preserve">Talcahuano</x:t>
        </x:is>
      </x:c>
      <x:c r="K150" s="9" t="inlineStr">
        <x:is>
          <x:t xml:space="preserve">Concepción</x:t>
        </x:is>
      </x:c>
      <x:c r="L150" s="9" t="inlineStr">
        <x:is>
          <x:t xml:space="preserve">Biobío</x:t>
        </x:is>
      </x:c>
      <x:c r="M150" s="11" t="n">
        <x:v>-36.710667</x:v>
      </x:c>
      <x:c r="N150" s="11" t="n">
        <x:v>-72.784328</x:v>
      </x:c>
      <x:c r="O150" s="10" t="inlineStr">
        <x:is>
          <x:t xml:space="preserve">-36.710667, -72.784328</x:t>
        </x:is>
      </x:c>
      <x:c r="P150" s="9" t="inlineStr">
        <x:is>
          <x:t xml:space="preserve">Turismo</x:t>
        </x:is>
      </x:c>
      <x:c r="Q150" s="9" t="inlineStr">
        <x:is>
          <x:t xml:space="preserve">Entregado</x:t>
        </x:is>
      </x:c>
      <x:c r="R150" s="9" t="inlineStr">
        <x:is>
          <x:t xml:space="preserve">MODULAR_TIMBER</x:t>
        </x:is>
      </x:c>
      <x:c r="S150" s="9" t="inlineStr">
        <x:is>
          <x:t xml:space="preserve">TES-0149</x:t>
        </x:is>
      </x:c>
    </x:row>
    <x:row r="151">
      <x:c r="A151" s="9" t="inlineStr">
        <x:is>
          <x:t xml:space="preserve">PRO-0150</x:t>
        </x:is>
      </x:c>
      <x:c r="B151" s="9" t="inlineStr">
        <x:is>
          <x:t xml:space="preserve">EMP-050</x:t>
        </x:is>
      </x:c>
      <x:c r="C151" s="9" t="inlineStr">
        <x:is>
          <x:t xml:space="preserve">MOD-0247</x:t>
        </x:is>
      </x:c>
      <x:c r="D151" s="9" t="inlineStr">
        <x:is>
          <x:t xml:space="preserve">Parcela Ranco 12</x:t>
        </x:is>
      </x:c>
      <x:c r="E151" s="9" t="inlineStr">
        <x:is>
          <x:t xml:space="preserve">Sí</x:t>
        </x:is>
      </x:c>
      <x:c r="F151" s="9" t="inlineStr">
        <x:is>
          <x:t xml:space="preserve">Joaquín Sandoval Reyes</x:t>
        </x:is>
      </x:c>
      <x:c r="G151" s="16" t="n">
        <x:v>44403</x:v>
      </x:c>
      <x:c r="H151" s="12" t="n">
        <x:v>109.5</x:v>
      </x:c>
      <x:c r="I151" s="9" t="inlineStr">
        <x:is>
          <x:t xml:space="preserve">Ruta La Montaña 1150</x:t>
        </x:is>
      </x:c>
      <x:c r="J151" s="9" t="inlineStr">
        <x:is>
          <x:t xml:space="preserve">Talcahuano</x:t>
        </x:is>
      </x:c>
      <x:c r="K151" s="9" t="inlineStr">
        <x:is>
          <x:t xml:space="preserve">Concepción</x:t>
        </x:is>
      </x:c>
      <x:c r="L151" s="9" t="inlineStr">
        <x:is>
          <x:t xml:space="preserve">Biobío</x:t>
        </x:is>
      </x:c>
      <x:c r="M151" s="11" t="n">
        <x:v>-36.342332</x:v>
      </x:c>
      <x:c r="N151" s="11" t="n">
        <x:v>-73.09755800000001</x:v>
      </x:c>
      <x:c r="O151" s="10" t="inlineStr">
        <x:is>
          <x:t xml:space="preserve">-36.342332, -73.097558</x:t>
        </x:is>
      </x:c>
      <x:c r="P151" s="9" t="inlineStr">
        <x:is>
          <x:t xml:space="preserve">Turismo</x:t>
        </x:is>
      </x:c>
      <x:c r="Q151" s="9" t="inlineStr">
        <x:is>
          <x:t xml:space="preserve">Entregado</x:t>
        </x:is>
      </x:c>
      <x:c r="R151" s="9" t="inlineStr">
        <x:is>
          <x:t xml:space="preserve">STEEL_FRAME</x:t>
        </x:is>
      </x:c>
      <x:c r="S151" s="9" t="inlineStr">
        <x:is>
          <x:t xml:space="preserve">TES-0150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eeec69d0c744299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3" customWidth="1"/>
    <x:col min="3" max="3" width="12" customWidth="1"/>
    <x:col min="4" max="4" width="30" customWidth="1"/>
    <x:col min="5" max="5" width="18" customWidth="1"/>
    <x:col min="6" max="6" width="18" customWidth="1"/>
    <x:col min="7" max="7" width="38" customWidth="1"/>
    <x:col min="8" max="8" width="15" customWidth="1"/>
  </x:cols>
  <x:sheetData>
    <x:row r="1">
      <x:c r="A1" s="7" t="inlineStr">
        <x:is>
          <x:t xml:space="preserve">testimonial_id</x:t>
        </x:is>
      </x:c>
      <x:c r="B1" s="7" t="inlineStr">
        <x:is>
          <x:t xml:space="preserve">proyecto_id</x:t>
        </x:is>
      </x:c>
      <x:c r="C1" s="7" t="inlineStr">
        <x:is>
          <x:t xml:space="preserve">empresa_id</x:t>
        </x:is>
      </x:c>
      <x:c r="D1" s="7" t="inlineStr">
        <x:is>
          <x:t xml:space="preserve">propietario_ficticio</x:t>
        </x:is>
      </x:c>
      <x:c r="E1" s="7" t="inlineStr">
        <x:is>
          <x:t xml:space="preserve">fecha_testimonio</x:t>
        </x:is>
      </x:c>
      <x:c r="F1" s="7" t="inlineStr">
        <x:is>
          <x:t xml:space="preserve">calificacion_1_5</x:t>
        </x:is>
      </x:c>
      <x:c r="G1" s="8" t="inlineStr">
        <x:is>
          <x:t xml:space="preserve">testimonio</x:t>
        </x:is>
      </x:c>
      <x:c r="H1" s="7" t="inlineStr">
        <x:is>
          <x:t xml:space="preserve">dato_ficticio</x:t>
        </x:is>
      </x:c>
    </x:row>
    <x:row r="2" ht="32" customHeight="1">
      <x:c r="A2" s="9" t="inlineStr">
        <x:is>
          <x:t xml:space="preserve">TES-0001</x:t>
        </x:is>
      </x:c>
      <x:c r="B2" s="9" t="inlineStr">
        <x:is>
          <x:t xml:space="preserve">PRO-0001</x:t>
        </x:is>
      </x:c>
      <x:c r="C2" s="9" t="inlineStr">
        <x:is>
          <x:t xml:space="preserve">EMP-001</x:t>
        </x:is>
      </x:c>
      <x:c r="D2" s="9" t="inlineStr">
        <x:is>
          <x:t xml:space="preserve">Esteban Torres Venegas</x:t>
        </x:is>
      </x:c>
      <x:c r="E2" s="16" t="n">
        <x:v>45409</x:v>
      </x:c>
      <x:c r="F2" s="9" t="n">
        <x:v>4</x:v>
      </x:c>
      <x:c r="G2" s="10" t="inlineStr">
        <x:is>
          <x:t xml:space="preserve">Quedamos conformes con la solución modular; redujo tiempos de obra y residuos en terreno.</x:t>
        </x:is>
      </x:c>
      <x:c r="H2" s="9" t="inlineStr">
        <x:is>
          <x:t xml:space="preserve">Sí</x:t>
        </x:is>
      </x:c>
    </x:row>
    <x:row r="3" ht="32" customHeight="1">
      <x:c r="A3" s="9" t="inlineStr">
        <x:is>
          <x:t xml:space="preserve">TES-0002</x:t>
        </x:is>
      </x:c>
      <x:c r="B3" s="9" t="inlineStr">
        <x:is>
          <x:t xml:space="preserve">PRO-0002</x:t>
        </x:is>
      </x:c>
      <x:c r="C3" s="9" t="inlineStr">
        <x:is>
          <x:t xml:space="preserve">EMP-001</x:t>
        </x:is>
      </x:c>
      <x:c r="D3" s="9" t="inlineStr">
        <x:is>
          <x:t xml:space="preserve">Dominga Alarcón Molina</x:t>
        </x:is>
      </x:c>
      <x:c r="E3" s="16" t="n">
        <x:v>44955</x:v>
      </x:c>
      <x:c r="F3" s="9" t="n">
        <x:v>4</x:v>
      </x:c>
      <x:c r="G3" s="10" t="inlineStr">
        <x:is>
          <x:t xml:space="preserve">Valoramos la rapidez de instalación y la coordinación entre fábrica, transporte y montaje.</x:t>
        </x:is>
      </x:c>
      <x:c r="H3" s="9" t="inlineStr">
        <x:is>
          <x:t xml:space="preserve">Sí</x:t>
        </x:is>
      </x:c>
    </x:row>
    <x:row r="4" ht="32" customHeight="1">
      <x:c r="A4" s="9" t="inlineStr">
        <x:is>
          <x:t xml:space="preserve">TES-0003</x:t>
        </x:is>
      </x:c>
      <x:c r="B4" s="9" t="inlineStr">
        <x:is>
          <x:t xml:space="preserve">PRO-0003</x:t>
        </x:is>
      </x:c>
      <x:c r="C4" s="9" t="inlineStr">
        <x:is>
          <x:t xml:space="preserve">EMP-001</x:t>
        </x:is>
      </x:c>
      <x:c r="D4" s="9" t="inlineStr">
        <x:is>
          <x:t xml:space="preserve">Ignacia Bahamondes Tapia</x:t>
        </x:is>
      </x:c>
      <x:c r="E4" s="16" t="n">
        <x:v>45984</x:v>
      </x:c>
      <x:c r="F4" s="9" t="n">
        <x:v>4</x:v>
      </x:c>
      <x:c r="G4" s="10" t="inlineStr">
        <x:is>
          <x:t xml:space="preserve">El modelo se adaptó bien a la parcela y la postventa respondió en tiempo razonable.</x:t>
        </x:is>
      </x:c>
      <x:c r="H4" s="9" t="inlineStr">
        <x:is>
          <x:t xml:space="preserve">Sí</x:t>
        </x:is>
      </x:c>
    </x:row>
    <x:row r="5" ht="32" customHeight="1">
      <x:c r="A5" s="9" t="inlineStr">
        <x:is>
          <x:t xml:space="preserve">TES-0004</x:t>
        </x:is>
      </x:c>
      <x:c r="B5" s="9" t="inlineStr">
        <x:is>
          <x:t xml:space="preserve">PRO-0004</x:t>
        </x:is>
      </x:c>
      <x:c r="C5" s="9" t="inlineStr">
        <x:is>
          <x:t xml:space="preserve">EMP-002</x:t>
        </x:is>
      </x:c>
      <x:c r="D5" s="9" t="inlineStr">
        <x:is>
          <x:t xml:space="preserve">Isidora Vera Peña</x:t>
        </x:is>
      </x:c>
      <x:c r="E5" s="16" t="n">
        <x:v>45290</x:v>
      </x:c>
      <x:c r="F5" s="9" t="n">
        <x:v>5</x:v>
      </x:c>
      <x:c r="G5" s="10" t="inlineStr">
        <x:is>
          <x:t xml:space="preserve">Valoramos la rapidez de instalación y la coordinación entre fábrica, transporte y montaje.</x:t>
        </x:is>
      </x:c>
      <x:c r="H5" s="9" t="inlineStr">
        <x:is>
          <x:t xml:space="preserve">Sí</x:t>
        </x:is>
      </x:c>
    </x:row>
    <x:row r="6" ht="32" customHeight="1">
      <x:c r="A6" s="9" t="inlineStr">
        <x:is>
          <x:t xml:space="preserve">TES-0005</x:t>
        </x:is>
      </x:c>
      <x:c r="B6" s="9" t="inlineStr">
        <x:is>
          <x:t xml:space="preserve">PRO-0005</x:t>
        </x:is>
      </x:c>
      <x:c r="C6" s="9" t="inlineStr">
        <x:is>
          <x:t xml:space="preserve">EMP-002</x:t>
        </x:is>
      </x:c>
      <x:c r="D6" s="9" t="inlineStr">
        <x:is>
          <x:t xml:space="preserve">Gabriel Bravo Acuña</x:t>
        </x:is>
      </x:c>
      <x:c r="E6" s="16" t="n">
        <x:v>44832</x:v>
      </x:c>
      <x:c r="F6" s="9" t="n">
        <x:v>4</x:v>
      </x:c>
      <x:c r="G6" s="10" t="inlineStr">
        <x:is>
          <x:t xml:space="preserve">La aislación y los termopaneles mejoraron mucho el confort interior en comparación con nuestra vivienda anterior.</x:t>
        </x:is>
      </x:c>
      <x:c r="H6" s="9" t="inlineStr">
        <x:is>
          <x:t xml:space="preserve">Sí</x:t>
        </x:is>
      </x:c>
    </x:row>
    <x:row r="7" ht="32" customHeight="1">
      <x:c r="A7" s="9" t="inlineStr">
        <x:is>
          <x:t xml:space="preserve">TES-0006</x:t>
        </x:is>
      </x:c>
      <x:c r="B7" s="9" t="inlineStr">
        <x:is>
          <x:t xml:space="preserve">PRO-0006</x:t>
        </x:is>
      </x:c>
      <x:c r="C7" s="9" t="inlineStr">
        <x:is>
          <x:t xml:space="preserve">EMP-002</x:t>
        </x:is>
      </x:c>
      <x:c r="D7" s="9" t="inlineStr">
        <x:is>
          <x:t xml:space="preserve">Nicolás Reyes Sandoval</x:t>
        </x:is>
      </x:c>
      <x:c r="E7" s="16" t="n">
        <x:v>45344</x:v>
      </x:c>
      <x:c r="F7" s="9" t="n">
        <x:v>4</x:v>
      </x:c>
      <x:c r="G7" s="10" t="inlineStr">
        <x:is>
          <x:t xml:space="preserve">La obra llegó panelizada y el montaje fue muy ordenado. Buen desempeño térmico durante invierno.</x:t>
        </x:is>
      </x:c>
      <x:c r="H7" s="9" t="inlineStr">
        <x:is>
          <x:t xml:space="preserve">Sí</x:t>
        </x:is>
      </x:c>
    </x:row>
    <x:row r="8" ht="32" customHeight="1">
      <x:c r="A8" s="9" t="inlineStr">
        <x:is>
          <x:t xml:space="preserve">TES-0007</x:t>
        </x:is>
      </x:c>
      <x:c r="B8" s="9" t="inlineStr">
        <x:is>
          <x:t xml:space="preserve">PRO-0007</x:t>
        </x:is>
      </x:c>
      <x:c r="C8" s="9" t="inlineStr">
        <x:is>
          <x:t xml:space="preserve">EMP-003</x:t>
        </x:is>
      </x:c>
      <x:c r="D8" s="9" t="inlineStr">
        <x:is>
          <x:t xml:space="preserve">Felipe Orellana Carrasco</x:t>
        </x:is>
      </x:c>
      <x:c r="E8" s="16" t="n">
        <x:v>44745</x:v>
      </x:c>
      <x:c r="F8" s="9" t="n">
        <x:v>4</x:v>
      </x:c>
      <x:c r="G8" s="10" t="inlineStr">
        <x:is>
          <x:t xml:space="preserve">El modelo se adaptó bien a la parcela y la postventa respondió en tiempo razonable.</x:t>
        </x:is>
      </x:c>
      <x:c r="H8" s="9" t="inlineStr">
        <x:is>
          <x:t xml:space="preserve">Sí</x:t>
        </x:is>
      </x:c>
    </x:row>
    <x:row r="9" ht="32" customHeight="1">
      <x:c r="A9" s="9" t="inlineStr">
        <x:is>
          <x:t xml:space="preserve">TES-0008</x:t>
        </x:is>
      </x:c>
      <x:c r="B9" s="9" t="inlineStr">
        <x:is>
          <x:t xml:space="preserve">PRO-0008</x:t>
        </x:is>
      </x:c>
      <x:c r="C9" s="9" t="inlineStr">
        <x:is>
          <x:t xml:space="preserve">EMP-003</x:t>
        </x:is>
      </x:c>
      <x:c r="D9" s="9" t="inlineStr">
        <x:is>
          <x:t xml:space="preserve">Amanda Tapia Lagos</x:t>
        </x:is>
      </x:c>
      <x:c r="E9" s="16" t="n">
        <x:v>45294</x:v>
      </x:c>
      <x:c r="F9" s="9" t="n">
        <x:v>5</x:v>
      </x:c>
      <x:c r="G9" s="10" t="inlineStr">
        <x:is>
          <x:t xml:space="preserve">El proyecto se entregó con terminaciones limpias y las instalaciones funcionaron correctamente desde el inicio.</x:t>
        </x:is>
      </x:c>
      <x:c r="H9" s="9" t="inlineStr">
        <x:is>
          <x:t xml:space="preserve">Sí</x:t>
        </x:is>
      </x:c>
    </x:row>
    <x:row r="10" ht="32" customHeight="1">
      <x:c r="A10" s="9" t="inlineStr">
        <x:is>
          <x:t xml:space="preserve">TES-0009</x:t>
        </x:is>
      </x:c>
      <x:c r="B10" s="9" t="inlineStr">
        <x:is>
          <x:t xml:space="preserve">PRO-0009</x:t>
        </x:is>
      </x:c>
      <x:c r="C10" s="9" t="inlineStr">
        <x:is>
          <x:t xml:space="preserve">EMP-003</x:t>
        </x:is>
      </x:c>
      <x:c r="D10" s="9" t="inlineStr">
        <x:is>
          <x:t xml:space="preserve">Paula Torres Mella</x:t>
        </x:is>
      </x:c>
      <x:c r="E10" s="16" t="n">
        <x:v>45388</x:v>
      </x:c>
      <x:c r="F10" s="9" t="n">
        <x:v>4</x:v>
      </x:c>
      <x:c r="G10" s="10" t="inlineStr">
        <x:is>
          <x:t xml:space="preserve">El proyecto se entregó con terminaciones limpias y las instalaciones funcionaron correctamente desde el inicio.</x:t>
        </x:is>
      </x:c>
      <x:c r="H10" s="9" t="inlineStr">
        <x:is>
          <x:t xml:space="preserve">Sí</x:t>
        </x:is>
      </x:c>
    </x:row>
    <x:row r="11" ht="32" customHeight="1">
      <x:c r="A11" s="9" t="inlineStr">
        <x:is>
          <x:t xml:space="preserve">TES-0010</x:t>
        </x:is>
      </x:c>
      <x:c r="B11" s="9" t="inlineStr">
        <x:is>
          <x:t xml:space="preserve">PRO-0010</x:t>
        </x:is>
      </x:c>
      <x:c r="C11" s="9" t="inlineStr">
        <x:is>
          <x:t xml:space="preserve">EMP-004</x:t>
        </x:is>
      </x:c>
      <x:c r="D11" s="9" t="inlineStr">
        <x:is>
          <x:t xml:space="preserve">Antonia Valdés Sepúlveda</x:t>
        </x:is>
      </x:c>
      <x:c r="E11" s="16" t="n">
        <x:v>45704</x:v>
      </x:c>
      <x:c r="F11" s="9" t="n">
        <x:v>4</x:v>
      </x:c>
      <x:c r="G11" s="10" t="inlineStr">
        <x:is>
          <x:t xml:space="preserve">Valoramos la rapidez de instalación y la coordinación entre fábrica, transporte y montaje.</x:t>
        </x:is>
      </x:c>
      <x:c r="H11" s="9" t="inlineStr">
        <x:is>
          <x:t xml:space="preserve">Sí</x:t>
        </x:is>
      </x:c>
    </x:row>
    <x:row r="12" ht="32" customHeight="1">
      <x:c r="A12" s="9" t="inlineStr">
        <x:is>
          <x:t xml:space="preserve">TES-0011</x:t>
        </x:is>
      </x:c>
      <x:c r="B12" s="9" t="inlineStr">
        <x:is>
          <x:t xml:space="preserve">PRO-0011</x:t>
        </x:is>
      </x:c>
      <x:c r="C12" s="9" t="inlineStr">
        <x:is>
          <x:t xml:space="preserve">EMP-004</x:t>
        </x:is>
      </x:c>
      <x:c r="D12" s="9" t="inlineStr">
        <x:is>
          <x:t xml:space="preserve">Daniela Fuentes Sandoval</x:t>
        </x:is>
      </x:c>
      <x:c r="E12" s="16" t="n">
        <x:v>45422</x:v>
      </x:c>
      <x:c r="F12" s="9" t="n">
        <x:v>5</x:v>
      </x:c>
      <x:c r="G12" s="10" t="inlineStr">
        <x:is>
          <x:t xml:space="preserve">Valoramos la rapidez de instalación y la coordinación entre fábrica, transporte y montaje.</x:t>
        </x:is>
      </x:c>
      <x:c r="H12" s="9" t="inlineStr">
        <x:is>
          <x:t xml:space="preserve">Sí</x:t>
        </x:is>
      </x:c>
    </x:row>
    <x:row r="13" ht="32" customHeight="1">
      <x:c r="A13" s="9" t="inlineStr">
        <x:is>
          <x:t xml:space="preserve">TES-0012</x:t>
        </x:is>
      </x:c>
      <x:c r="B13" s="9" t="inlineStr">
        <x:is>
          <x:t xml:space="preserve">PRO-0012</x:t>
        </x:is>
      </x:c>
      <x:c r="C13" s="9" t="inlineStr">
        <x:is>
          <x:t xml:space="preserve">EMP-004</x:t>
        </x:is>
      </x:c>
      <x:c r="D13" s="9" t="inlineStr">
        <x:is>
          <x:t xml:space="preserve">Diego Torres Araya</x:t>
        </x:is>
      </x:c>
      <x:c r="E13" s="16" t="n">
        <x:v>44695</x:v>
      </x:c>
      <x:c r="F13" s="9" t="n">
        <x:v>5</x:v>
      </x:c>
      <x:c r="G13" s="10" t="inlineStr">
        <x:is>
          <x:t xml:space="preserve">La aislación y los termopaneles mejoraron mucho el confort interior en comparación con nuestra vivienda anterior.</x:t>
        </x:is>
      </x:c>
      <x:c r="H13" s="9" t="inlineStr">
        <x:is>
          <x:t xml:space="preserve">Sí</x:t>
        </x:is>
      </x:c>
    </x:row>
    <x:row r="14" ht="32" customHeight="1">
      <x:c r="A14" s="9" t="inlineStr">
        <x:is>
          <x:t xml:space="preserve">TES-0013</x:t>
        </x:is>
      </x:c>
      <x:c r="B14" s="9" t="inlineStr">
        <x:is>
          <x:t xml:space="preserve">PRO-0013</x:t>
        </x:is>
      </x:c>
      <x:c r="C14" s="9" t="inlineStr">
        <x:is>
          <x:t xml:space="preserve">EMP-005</x:t>
        </x:is>
      </x:c>
      <x:c r="D14" s="9" t="inlineStr">
        <x:is>
          <x:t xml:space="preserve">Martina Salinas Escobar</x:t>
        </x:is>
      </x:c>
      <x:c r="E14" s="16" t="n">
        <x:v>45098</x:v>
      </x:c>
      <x:c r="F14" s="9" t="n">
        <x:v>5</x:v>
      </x:c>
      <x:c r="G14" s="10" t="inlineStr">
        <x:is>
          <x:t xml:space="preserve">La obra llegó panelizada y el montaje fue muy ordenado. Buen desempeño térmico durante invierno.</x:t>
        </x:is>
      </x:c>
      <x:c r="H14" s="9" t="inlineStr">
        <x:is>
          <x:t xml:space="preserve">Sí</x:t>
        </x:is>
      </x:c>
    </x:row>
    <x:row r="15" ht="32" customHeight="1">
      <x:c r="A15" s="9" t="inlineStr">
        <x:is>
          <x:t xml:space="preserve">TES-0014</x:t>
        </x:is>
      </x:c>
      <x:c r="B15" s="9" t="inlineStr">
        <x:is>
          <x:t xml:space="preserve">PRO-0014</x:t>
        </x:is>
      </x:c>
      <x:c r="C15" s="9" t="inlineStr">
        <x:is>
          <x:t xml:space="preserve">EMP-005</x:t>
        </x:is>
      </x:c>
      <x:c r="D15" s="9" t="inlineStr">
        <x:is>
          <x:t xml:space="preserve">Benjamín Salinas Cortés</x:t>
        </x:is>
      </x:c>
      <x:c r="E15" s="16" t="n">
        <x:v>45350</x:v>
      </x:c>
      <x:c r="F15" s="9" t="n">
        <x:v>4</x:v>
      </x:c>
      <x:c r="G15" s="10" t="inlineStr">
        <x:is>
          <x:t xml:space="preserve">La aislación y los termopaneles mejoraron mucho el confort interior en comparación con nuestra vivienda anterior.</x:t>
        </x:is>
      </x:c>
      <x:c r="H15" s="9" t="inlineStr">
        <x:is>
          <x:t xml:space="preserve">Sí</x:t>
        </x:is>
      </x:c>
    </x:row>
    <x:row r="16" ht="32" customHeight="1">
      <x:c r="A16" s="9" t="inlineStr">
        <x:is>
          <x:t xml:space="preserve">TES-0015</x:t>
        </x:is>
      </x:c>
      <x:c r="B16" s="9" t="inlineStr">
        <x:is>
          <x:t xml:space="preserve">PRO-0015</x:t>
        </x:is>
      </x:c>
      <x:c r="C16" s="9" t="inlineStr">
        <x:is>
          <x:t xml:space="preserve">EMP-005</x:t>
        </x:is>
      </x:c>
      <x:c r="D16" s="9" t="inlineStr">
        <x:is>
          <x:t xml:space="preserve">Josefa Bravo Cortés</x:t>
        </x:is>
      </x:c>
      <x:c r="E16" s="16" t="n">
        <x:v>44506</x:v>
      </x:c>
      <x:c r="F16" s="9" t="n">
        <x:v>5</x:v>
      </x:c>
      <x:c r="G16" s="10" t="inlineStr">
        <x:is>
          <x:t xml:space="preserve">La aislación y los termopaneles mejoraron mucho el confort interior en comparación con nuestra vivienda anterior.</x:t>
        </x:is>
      </x:c>
      <x:c r="H16" s="9" t="inlineStr">
        <x:is>
          <x:t xml:space="preserve">Sí</x:t>
        </x:is>
      </x:c>
    </x:row>
    <x:row r="17" ht="32" customHeight="1">
      <x:c r="A17" s="9" t="inlineStr">
        <x:is>
          <x:t xml:space="preserve">TES-0016</x:t>
        </x:is>
      </x:c>
      <x:c r="B17" s="9" t="inlineStr">
        <x:is>
          <x:t xml:space="preserve">PRO-0016</x:t>
        </x:is>
      </x:c>
      <x:c r="C17" s="9" t="inlineStr">
        <x:is>
          <x:t xml:space="preserve">EMP-006</x:t>
        </x:is>
      </x:c>
      <x:c r="D17" s="9" t="inlineStr">
        <x:is>
          <x:t xml:space="preserve">Martina Mella Becerra</x:t>
        </x:is>
      </x:c>
      <x:c r="E17" s="16" t="n">
        <x:v>44715</x:v>
      </x:c>
      <x:c r="F17" s="9" t="n">
        <x:v>4</x:v>
      </x:c>
      <x:c r="G17" s="10" t="inlineStr">
        <x:is>
          <x:t xml:space="preserve">El proyecto se entregó con terminaciones limpias y las instalaciones funcionaron correctamente desde el inicio.</x:t>
        </x:is>
      </x:c>
      <x:c r="H17" s="9" t="inlineStr">
        <x:is>
          <x:t xml:space="preserve">Sí</x:t>
        </x:is>
      </x:c>
    </x:row>
    <x:row r="18" ht="32" customHeight="1">
      <x:c r="A18" s="9" t="inlineStr">
        <x:is>
          <x:t xml:space="preserve">TES-0017</x:t>
        </x:is>
      </x:c>
      <x:c r="B18" s="9" t="inlineStr">
        <x:is>
          <x:t xml:space="preserve">PRO-0017</x:t>
        </x:is>
      </x:c>
      <x:c r="C18" s="9" t="inlineStr">
        <x:is>
          <x:t xml:space="preserve">EMP-006</x:t>
        </x:is>
      </x:c>
      <x:c r="D18" s="9" t="inlineStr">
        <x:is>
          <x:t xml:space="preserve">Ricardo Farías Acuña</x:t>
        </x:is>
      </x:c>
      <x:c r="E18" s="16" t="n">
        <x:v>44578</x:v>
      </x:c>
      <x:c r="F18" s="9" t="n">
        <x:v>4</x:v>
      </x:c>
      <x:c r="G18" s="10" t="inlineStr">
        <x:is>
          <x:t xml:space="preserve">La aislación y los termopaneles mejoraron mucho el confort interior en comparación con nuestra vivienda anterior.</x:t>
        </x:is>
      </x:c>
      <x:c r="H18" s="9" t="inlineStr">
        <x:is>
          <x:t xml:space="preserve">Sí</x:t>
        </x:is>
      </x:c>
    </x:row>
    <x:row r="19" ht="32" customHeight="1">
      <x:c r="A19" s="9" t="inlineStr">
        <x:is>
          <x:t xml:space="preserve">TES-0018</x:t>
        </x:is>
      </x:c>
      <x:c r="B19" s="9" t="inlineStr">
        <x:is>
          <x:t xml:space="preserve">PRO-0018</x:t>
        </x:is>
      </x:c>
      <x:c r="C19" s="9" t="inlineStr">
        <x:is>
          <x:t xml:space="preserve">EMP-006</x:t>
        </x:is>
      </x:c>
      <x:c r="D19" s="9" t="inlineStr">
        <x:is>
          <x:t xml:space="preserve">Ricardo Pino Bustos</x:t>
        </x:is>
      </x:c>
      <x:c r="E19" s="16" t="n">
        <x:v>44880</x:v>
      </x:c>
      <x:c r="F19" s="9" t="n">
        <x:v>5</x:v>
      </x:c>
      <x:c r="G19" s="10" t="inlineStr">
        <x:is>
          <x:t xml:space="preserve">La obra llegó panelizada y el montaje fue muy ordenado. Buen desempeño térmico durante invierno.</x:t>
        </x:is>
      </x:c>
      <x:c r="H19" s="9" t="inlineStr">
        <x:is>
          <x:t xml:space="preserve">Sí</x:t>
        </x:is>
      </x:c>
    </x:row>
    <x:row r="20" ht="32" customHeight="1">
      <x:c r="A20" s="9" t="inlineStr">
        <x:is>
          <x:t xml:space="preserve">TES-0019</x:t>
        </x:is>
      </x:c>
      <x:c r="B20" s="9" t="inlineStr">
        <x:is>
          <x:t xml:space="preserve">PRO-0019</x:t>
        </x:is>
      </x:c>
      <x:c r="C20" s="9" t="inlineStr">
        <x:is>
          <x:t xml:space="preserve">EMP-007</x:t>
        </x:is>
      </x:c>
      <x:c r="D20" s="9" t="inlineStr">
        <x:is>
          <x:t xml:space="preserve">Renata Vera Mella</x:t>
        </x:is>
      </x:c>
      <x:c r="E20" s="16" t="n">
        <x:v>45580</x:v>
      </x:c>
      <x:c r="F20" s="9" t="n">
        <x:v>4</x:v>
      </x:c>
      <x:c r="G20" s="10" t="inlineStr">
        <x:is>
          <x:t xml:space="preserve">Valoramos la rapidez de instalación y la coordinación entre fábrica, transporte y montaje.</x:t>
        </x:is>
      </x:c>
      <x:c r="H20" s="9" t="inlineStr">
        <x:is>
          <x:t xml:space="preserve">Sí</x:t>
        </x:is>
      </x:c>
    </x:row>
    <x:row r="21" ht="32" customHeight="1">
      <x:c r="A21" s="9" t="inlineStr">
        <x:is>
          <x:t xml:space="preserve">TES-0020</x:t>
        </x:is>
      </x:c>
      <x:c r="B21" s="9" t="inlineStr">
        <x:is>
          <x:t xml:space="preserve">PRO-0020</x:t>
        </x:is>
      </x:c>
      <x:c r="C21" s="9" t="inlineStr">
        <x:is>
          <x:t xml:space="preserve">EMP-007</x:t>
        </x:is>
      </x:c>
      <x:c r="D21" s="9" t="inlineStr">
        <x:is>
          <x:t xml:space="preserve">Paula Alarcón Rojas</x:t>
        </x:is>
      </x:c>
      <x:c r="E21" s="16" t="n">
        <x:v>44593</x:v>
      </x:c>
      <x:c r="F21" s="9" t="n">
        <x:v>5</x:v>
      </x:c>
      <x:c r="G21" s="10" t="inlineStr">
        <x:is>
          <x:t xml:space="preserve">El proyecto se entregó con terminaciones limpias y las instalaciones funcionaron correctamente desde el inicio.</x:t>
        </x:is>
      </x:c>
      <x:c r="H21" s="9" t="inlineStr">
        <x:is>
          <x:t xml:space="preserve">Sí</x:t>
        </x:is>
      </x:c>
    </x:row>
    <x:row r="22" ht="32" customHeight="1">
      <x:c r="A22" s="9" t="inlineStr">
        <x:is>
          <x:t xml:space="preserve">TES-0021</x:t>
        </x:is>
      </x:c>
      <x:c r="B22" s="9" t="inlineStr">
        <x:is>
          <x:t xml:space="preserve">PRO-0021</x:t>
        </x:is>
      </x:c>
      <x:c r="C22" s="9" t="inlineStr">
        <x:is>
          <x:t xml:space="preserve">EMP-007</x:t>
        </x:is>
      </x:c>
      <x:c r="D22" s="9" t="inlineStr">
        <x:is>
          <x:t xml:space="preserve">Simón Ramírez Castillo</x:t>
        </x:is>
      </x:c>
      <x:c r="E22" s="16" t="n">
        <x:v>45161</x:v>
      </x:c>
      <x:c r="F22" s="9" t="n">
        <x:v>5</x:v>
      </x:c>
      <x:c r="G22" s="10" t="inlineStr">
        <x:is>
          <x:t xml:space="preserve">La aislación y los termopaneles mejoraron mucho el confort interior en comparación con nuestra vivienda anterior.</x:t>
        </x:is>
      </x:c>
      <x:c r="H22" s="9" t="inlineStr">
        <x:is>
          <x:t xml:space="preserve">Sí</x:t>
        </x:is>
      </x:c>
    </x:row>
    <x:row r="23" ht="32" customHeight="1">
      <x:c r="A23" s="9" t="inlineStr">
        <x:is>
          <x:t xml:space="preserve">TES-0022</x:t>
        </x:is>
      </x:c>
      <x:c r="B23" s="9" t="inlineStr">
        <x:is>
          <x:t xml:space="preserve">PRO-0022</x:t>
        </x:is>
      </x:c>
      <x:c r="C23" s="9" t="inlineStr">
        <x:is>
          <x:t xml:space="preserve">EMP-008</x:t>
        </x:is>
      </x:c>
      <x:c r="D23" s="9" t="inlineStr">
        <x:is>
          <x:t xml:space="preserve">Manuel Fuentes Saavedra</x:t>
        </x:is>
      </x:c>
      <x:c r="E23" s="16" t="n">
        <x:v>45331</x:v>
      </x:c>
      <x:c r="F23" s="9" t="n">
        <x:v>5</x:v>
      </x:c>
      <x:c r="G23" s="10" t="inlineStr">
        <x:is>
          <x:t xml:space="preserve">El proyecto se entregó con terminaciones limpias y las instalaciones funcionaron correctamente desde el inicio.</x:t>
        </x:is>
      </x:c>
      <x:c r="H23" s="9" t="inlineStr">
        <x:is>
          <x:t xml:space="preserve">Sí</x:t>
        </x:is>
      </x:c>
    </x:row>
    <x:row r="24" ht="32" customHeight="1">
      <x:c r="A24" s="9" t="inlineStr">
        <x:is>
          <x:t xml:space="preserve">TES-0023</x:t>
        </x:is>
      </x:c>
      <x:c r="B24" s="9" t="inlineStr">
        <x:is>
          <x:t xml:space="preserve">PRO-0023</x:t>
        </x:is>
      </x:c>
      <x:c r="C24" s="9" t="inlineStr">
        <x:is>
          <x:t xml:space="preserve">EMP-008</x:t>
        </x:is>
      </x:c>
      <x:c r="D24" s="9" t="inlineStr">
        <x:is>
          <x:t xml:space="preserve">Constanza Núñez Acuña</x:t>
        </x:is>
      </x:c>
      <x:c r="E24" s="16" t="n">
        <x:v>44939</x:v>
      </x:c>
      <x:c r="F24" s="9" t="n">
        <x:v>4</x:v>
      </x:c>
      <x:c r="G24" s="10" t="inlineStr">
        <x:is>
          <x:t xml:space="preserve">La obra llegó panelizada y el montaje fue muy ordenado. Buen desempeño térmico durante invierno.</x:t>
        </x:is>
      </x:c>
      <x:c r="H24" s="9" t="inlineStr">
        <x:is>
          <x:t xml:space="preserve">Sí</x:t>
        </x:is>
      </x:c>
    </x:row>
    <x:row r="25" ht="32" customHeight="1">
      <x:c r="A25" s="9" t="inlineStr">
        <x:is>
          <x:t xml:space="preserve">TES-0024</x:t>
        </x:is>
      </x:c>
      <x:c r="B25" s="9" t="inlineStr">
        <x:is>
          <x:t xml:space="preserve">PRO-0024</x:t>
        </x:is>
      </x:c>
      <x:c r="C25" s="9" t="inlineStr">
        <x:is>
          <x:t xml:space="preserve">EMP-008</x:t>
        </x:is>
      </x:c>
      <x:c r="D25" s="9" t="inlineStr">
        <x:is>
          <x:t xml:space="preserve">Iván Silva Herrera</x:t>
        </x:is>
      </x:c>
      <x:c r="E25" s="16" t="n">
        <x:v>46049</x:v>
      </x:c>
      <x:c r="F25" s="9" t="n">
        <x:v>5</x:v>
      </x:c>
      <x:c r="G25" s="10" t="inlineStr">
        <x:is>
          <x:t xml:space="preserve">El modelo se adaptó bien a la parcela y la postventa respondió en tiempo razonable.</x:t>
        </x:is>
      </x:c>
      <x:c r="H25" s="9" t="inlineStr">
        <x:is>
          <x:t xml:space="preserve">Sí</x:t>
        </x:is>
      </x:c>
    </x:row>
    <x:row r="26" ht="32" customHeight="1">
      <x:c r="A26" s="9" t="inlineStr">
        <x:is>
          <x:t xml:space="preserve">TES-0025</x:t>
        </x:is>
      </x:c>
      <x:c r="B26" s="9" t="inlineStr">
        <x:is>
          <x:t xml:space="preserve">PRO-0025</x:t>
        </x:is>
      </x:c>
      <x:c r="C26" s="9" t="inlineStr">
        <x:is>
          <x:t xml:space="preserve">EMP-009</x:t>
        </x:is>
      </x:c>
      <x:c r="D26" s="9" t="inlineStr">
        <x:is>
          <x:t xml:space="preserve">Emilia Carrasco Farías</x:t>
        </x:is>
      </x:c>
      <x:c r="E26" s="16" t="n">
        <x:v>45424</x:v>
      </x:c>
      <x:c r="F26" s="9" t="n">
        <x:v>5</x:v>
      </x:c>
      <x:c r="G26" s="10" t="inlineStr">
        <x:is>
          <x:t xml:space="preserve">El modelo se adaptó bien a la parcela y la postventa respondió en tiempo razonable.</x:t>
        </x:is>
      </x:c>
      <x:c r="H26" s="9" t="inlineStr">
        <x:is>
          <x:t xml:space="preserve">Sí</x:t>
        </x:is>
      </x:c>
    </x:row>
    <x:row r="27" ht="32" customHeight="1">
      <x:c r="A27" s="9" t="inlineStr">
        <x:is>
          <x:t xml:space="preserve">TES-0026</x:t>
        </x:is>
      </x:c>
      <x:c r="B27" s="9" t="inlineStr">
        <x:is>
          <x:t xml:space="preserve">PRO-0026</x:t>
        </x:is>
      </x:c>
      <x:c r="C27" s="9" t="inlineStr">
        <x:is>
          <x:t xml:space="preserve">EMP-009</x:t>
        </x:is>
      </x:c>
      <x:c r="D27" s="9" t="inlineStr">
        <x:is>
          <x:t xml:space="preserve">Diego Rojas Cuevas</x:t>
        </x:is>
      </x:c>
      <x:c r="E27" s="16" t="n">
        <x:v>44576</x:v>
      </x:c>
      <x:c r="F27" s="9" t="n">
        <x:v>5</x:v>
      </x:c>
      <x:c r="G27" s="10" t="inlineStr">
        <x:is>
          <x:t xml:space="preserve">Quedamos conformes con la solución modular; redujo tiempos de obra y residuos en terreno.</x:t>
        </x:is>
      </x:c>
      <x:c r="H27" s="9" t="inlineStr">
        <x:is>
          <x:t xml:space="preserve">Sí</x:t>
        </x:is>
      </x:c>
    </x:row>
    <x:row r="28" ht="32" customHeight="1">
      <x:c r="A28" s="9" t="inlineStr">
        <x:is>
          <x:t xml:space="preserve">TES-0027</x:t>
        </x:is>
      </x:c>
      <x:c r="B28" s="9" t="inlineStr">
        <x:is>
          <x:t xml:space="preserve">PRO-0027</x:t>
        </x:is>
      </x:c>
      <x:c r="C28" s="9" t="inlineStr">
        <x:is>
          <x:t xml:space="preserve">EMP-009</x:t>
        </x:is>
      </x:c>
      <x:c r="D28" s="9" t="inlineStr">
        <x:is>
          <x:t xml:space="preserve">Francisca Peña González</x:t>
        </x:is>
      </x:c>
      <x:c r="E28" s="16" t="n">
        <x:v>44687</x:v>
      </x:c>
      <x:c r="F28" s="9" t="n">
        <x:v>5</x:v>
      </x:c>
      <x:c r="G28" s="10" t="inlineStr">
        <x:is>
          <x:t xml:space="preserve">El proyecto se entregó con terminaciones limpias y las instalaciones funcionaron correctamente desde el inicio.</x:t>
        </x:is>
      </x:c>
      <x:c r="H28" s="9" t="inlineStr">
        <x:is>
          <x:t xml:space="preserve">Sí</x:t>
        </x:is>
      </x:c>
    </x:row>
    <x:row r="29" ht="32" customHeight="1">
      <x:c r="A29" s="9" t="inlineStr">
        <x:is>
          <x:t xml:space="preserve">TES-0028</x:t>
        </x:is>
      </x:c>
      <x:c r="B29" s="9" t="inlineStr">
        <x:is>
          <x:t xml:space="preserve">PRO-0028</x:t>
        </x:is>
      </x:c>
      <x:c r="C29" s="9" t="inlineStr">
        <x:is>
          <x:t xml:space="preserve">EMP-010</x:t>
        </x:is>
      </x:c>
      <x:c r="D29" s="9" t="inlineStr">
        <x:is>
          <x:t xml:space="preserve">Javier Silva Bahamondes</x:t>
        </x:is>
      </x:c>
      <x:c r="E29" s="16" t="n">
        <x:v>44865</x:v>
      </x:c>
      <x:c r="F29" s="9" t="n">
        <x:v>5</x:v>
      </x:c>
      <x:c r="G29" s="10" t="inlineStr">
        <x:is>
          <x:t xml:space="preserve">El modelo se adaptó bien a la parcela y la postventa respondió en tiempo razonable.</x:t>
        </x:is>
      </x:c>
      <x:c r="H29" s="9" t="inlineStr">
        <x:is>
          <x:t xml:space="preserve">Sí</x:t>
        </x:is>
      </x:c>
    </x:row>
    <x:row r="30" ht="32" customHeight="1">
      <x:c r="A30" s="9" t="inlineStr">
        <x:is>
          <x:t xml:space="preserve">TES-0029</x:t>
        </x:is>
      </x:c>
      <x:c r="B30" s="9" t="inlineStr">
        <x:is>
          <x:t xml:space="preserve">PRO-0029</x:t>
        </x:is>
      </x:c>
      <x:c r="C30" s="9" t="inlineStr">
        <x:is>
          <x:t xml:space="preserve">EMP-010</x:t>
        </x:is>
      </x:c>
      <x:c r="D30" s="9" t="inlineStr">
        <x:is>
          <x:t xml:space="preserve">Dominga Rojas Pino</x:t>
        </x:is>
      </x:c>
      <x:c r="E30" s="16" t="n">
        <x:v>44723</x:v>
      </x:c>
      <x:c r="F30" s="9" t="n">
        <x:v>5</x:v>
      </x:c>
      <x:c r="G30" s="10" t="inlineStr">
        <x:is>
          <x:t xml:space="preserve">Valoramos la rapidez de instalación y la coordinación entre fábrica, transporte y montaje.</x:t>
        </x:is>
      </x:c>
      <x:c r="H30" s="9" t="inlineStr">
        <x:is>
          <x:t xml:space="preserve">Sí</x:t>
        </x:is>
      </x:c>
    </x:row>
    <x:row r="31" ht="32" customHeight="1">
      <x:c r="A31" s="9" t="inlineStr">
        <x:is>
          <x:t xml:space="preserve">TES-0030</x:t>
        </x:is>
      </x:c>
      <x:c r="B31" s="9" t="inlineStr">
        <x:is>
          <x:t xml:space="preserve">PRO-0030</x:t>
        </x:is>
      </x:c>
      <x:c r="C31" s="9" t="inlineStr">
        <x:is>
          <x:t xml:space="preserve">EMP-010</x:t>
        </x:is>
      </x:c>
      <x:c r="D31" s="9" t="inlineStr">
        <x:is>
          <x:t xml:space="preserve">Constanza Vargas Torres</x:t>
        </x:is>
      </x:c>
      <x:c r="E31" s="16" t="n">
        <x:v>44645</x:v>
      </x:c>
      <x:c r="F31" s="9" t="n">
        <x:v>5</x:v>
      </x:c>
      <x:c r="G31" s="10" t="inlineStr">
        <x:is>
          <x:t xml:space="preserve">La obra llegó panelizada y el montaje fue muy ordenado. Buen desempeño térmico durante invierno.</x:t>
        </x:is>
      </x:c>
      <x:c r="H31" s="9" t="inlineStr">
        <x:is>
          <x:t xml:space="preserve">Sí</x:t>
        </x:is>
      </x:c>
    </x:row>
    <x:row r="32" ht="32" customHeight="1">
      <x:c r="A32" s="9" t="inlineStr">
        <x:is>
          <x:t xml:space="preserve">TES-0031</x:t>
        </x:is>
      </x:c>
      <x:c r="B32" s="9" t="inlineStr">
        <x:is>
          <x:t xml:space="preserve">PRO-0031</x:t>
        </x:is>
      </x:c>
      <x:c r="C32" s="9" t="inlineStr">
        <x:is>
          <x:t xml:space="preserve">EMP-011</x:t>
        </x:is>
      </x:c>
      <x:c r="D32" s="9" t="inlineStr">
        <x:is>
          <x:t xml:space="preserve">Paz Campos Herrera</x:t>
        </x:is>
      </x:c>
      <x:c r="E32" s="16" t="n">
        <x:v>44866</x:v>
      </x:c>
      <x:c r="F32" s="9" t="n">
        <x:v>5</x:v>
      </x:c>
      <x:c r="G32" s="10" t="inlineStr">
        <x:is>
          <x:t xml:space="preserve">Quedamos conformes con la solución modular; redujo tiempos de obra y residuos en terreno.</x:t>
        </x:is>
      </x:c>
      <x:c r="H32" s="9" t="inlineStr">
        <x:is>
          <x:t xml:space="preserve">Sí</x:t>
        </x:is>
      </x:c>
    </x:row>
    <x:row r="33" ht="32" customHeight="1">
      <x:c r="A33" s="9" t="inlineStr">
        <x:is>
          <x:t xml:space="preserve">TES-0032</x:t>
        </x:is>
      </x:c>
      <x:c r="B33" s="9" t="inlineStr">
        <x:is>
          <x:t xml:space="preserve">PRO-0032</x:t>
        </x:is>
      </x:c>
      <x:c r="C33" s="9" t="inlineStr">
        <x:is>
          <x:t xml:space="preserve">EMP-011</x:t>
        </x:is>
      </x:c>
      <x:c r="D33" s="9" t="inlineStr">
        <x:is>
          <x:t xml:space="preserve">Ignacia Araya Fuentes</x:t>
        </x:is>
      </x:c>
      <x:c r="E33" s="16" t="n">
        <x:v>44467</x:v>
      </x:c>
      <x:c r="F33" s="9" t="n">
        <x:v>5</x:v>
      </x:c>
      <x:c r="G33" s="10" t="inlineStr">
        <x:is>
          <x:t xml:space="preserve">Valoramos la rapidez de instalación y la coordinación entre fábrica, transporte y montaje.</x:t>
        </x:is>
      </x:c>
      <x:c r="H33" s="9" t="inlineStr">
        <x:is>
          <x:t xml:space="preserve">Sí</x:t>
        </x:is>
      </x:c>
    </x:row>
    <x:row r="34" ht="32" customHeight="1">
      <x:c r="A34" s="9" t="inlineStr">
        <x:is>
          <x:t xml:space="preserve">TES-0033</x:t>
        </x:is>
      </x:c>
      <x:c r="B34" s="9" t="inlineStr">
        <x:is>
          <x:t xml:space="preserve">PRO-0033</x:t>
        </x:is>
      </x:c>
      <x:c r="C34" s="9" t="inlineStr">
        <x:is>
          <x:t xml:space="preserve">EMP-011</x:t>
        </x:is>
      </x:c>
      <x:c r="D34" s="9" t="inlineStr">
        <x:is>
          <x:t xml:space="preserve">Emilia Acuña Saavedra</x:t>
        </x:is>
      </x:c>
      <x:c r="E34" s="16" t="n">
        <x:v>45399</x:v>
      </x:c>
      <x:c r="F34" s="9" t="n">
        <x:v>5</x:v>
      </x:c>
      <x:c r="G34" s="10" t="inlineStr">
        <x:is>
          <x:t xml:space="preserve">El proyecto se entregó con terminaciones limpias y las instalaciones funcionaron correctamente desde el inicio.</x:t>
        </x:is>
      </x:c>
      <x:c r="H34" s="9" t="inlineStr">
        <x:is>
          <x:t xml:space="preserve">Sí</x:t>
        </x:is>
      </x:c>
    </x:row>
    <x:row r="35" ht="32" customHeight="1">
      <x:c r="A35" s="9" t="inlineStr">
        <x:is>
          <x:t xml:space="preserve">TES-0034</x:t>
        </x:is>
      </x:c>
      <x:c r="B35" s="9" t="inlineStr">
        <x:is>
          <x:t xml:space="preserve">PRO-0034</x:t>
        </x:is>
      </x:c>
      <x:c r="C35" s="9" t="inlineStr">
        <x:is>
          <x:t xml:space="preserve">EMP-012</x:t>
        </x:is>
      </x:c>
      <x:c r="D35" s="9" t="inlineStr">
        <x:is>
          <x:t xml:space="preserve">Daniela Alarcón Carrasco</x:t>
        </x:is>
      </x:c>
      <x:c r="E35" s="16" t="n">
        <x:v>44979</x:v>
      </x:c>
      <x:c r="F35" s="9" t="n">
        <x:v>5</x:v>
      </x:c>
      <x:c r="G35" s="10" t="inlineStr">
        <x:is>
          <x:t xml:space="preserve">El modelo se adaptó bien a la parcela y la postventa respondió en tiempo razonable.</x:t>
        </x:is>
      </x:c>
      <x:c r="H35" s="9" t="inlineStr">
        <x:is>
          <x:t xml:space="preserve">Sí</x:t>
        </x:is>
      </x:c>
    </x:row>
    <x:row r="36" ht="32" customHeight="1">
      <x:c r="A36" s="9" t="inlineStr">
        <x:is>
          <x:t xml:space="preserve">TES-0035</x:t>
        </x:is>
      </x:c>
      <x:c r="B36" s="9" t="inlineStr">
        <x:is>
          <x:t xml:space="preserve">PRO-0035</x:t>
        </x:is>
      </x:c>
      <x:c r="C36" s="9" t="inlineStr">
        <x:is>
          <x:t xml:space="preserve">EMP-012</x:t>
        </x:is>
      </x:c>
      <x:c r="D36" s="9" t="inlineStr">
        <x:is>
          <x:t xml:space="preserve">Diego Paredes Paredes</x:t>
        </x:is>
      </x:c>
      <x:c r="E36" s="16" t="n">
        <x:v>44520</x:v>
      </x:c>
      <x:c r="F36" s="9" t="n">
        <x:v>4</x:v>
      </x:c>
      <x:c r="G36" s="10" t="inlineStr">
        <x:is>
          <x:t xml:space="preserve">La aislación y los termopaneles mejoraron mucho el confort interior en comparación con nuestra vivienda anterior.</x:t>
        </x:is>
      </x:c>
      <x:c r="H36" s="9" t="inlineStr">
        <x:is>
          <x:t xml:space="preserve">Sí</x:t>
        </x:is>
      </x:c>
    </x:row>
    <x:row r="37" ht="32" customHeight="1">
      <x:c r="A37" s="9" t="inlineStr">
        <x:is>
          <x:t xml:space="preserve">TES-0036</x:t>
        </x:is>
      </x:c>
      <x:c r="B37" s="9" t="inlineStr">
        <x:is>
          <x:t xml:space="preserve">PRO-0036</x:t>
        </x:is>
      </x:c>
      <x:c r="C37" s="9" t="inlineStr">
        <x:is>
          <x:t xml:space="preserve">EMP-012</x:t>
        </x:is>
      </x:c>
      <x:c r="D37" s="9" t="inlineStr">
        <x:is>
          <x:t xml:space="preserve">Diego Jara Araya</x:t>
        </x:is>
      </x:c>
      <x:c r="E37" s="16" t="n">
        <x:v>44841</x:v>
      </x:c>
      <x:c r="F37" s="9" t="n">
        <x:v>5</x:v>
      </x:c>
      <x:c r="G37" s="10" t="inlineStr">
        <x:is>
          <x:t xml:space="preserve">La aislación y los termopaneles mejoraron mucho el confort interior en comparación con nuestra vivienda anterior.</x:t>
        </x:is>
      </x:c>
      <x:c r="H37" s="9" t="inlineStr">
        <x:is>
          <x:t xml:space="preserve">Sí</x:t>
        </x:is>
      </x:c>
    </x:row>
    <x:row r="38" ht="32" customHeight="1">
      <x:c r="A38" s="9" t="inlineStr">
        <x:is>
          <x:t xml:space="preserve">TES-0037</x:t>
        </x:is>
      </x:c>
      <x:c r="B38" s="9" t="inlineStr">
        <x:is>
          <x:t xml:space="preserve">PRO-0037</x:t>
        </x:is>
      </x:c>
      <x:c r="C38" s="9" t="inlineStr">
        <x:is>
          <x:t xml:space="preserve">EMP-013</x:t>
        </x:is>
      </x:c>
      <x:c r="D38" s="9" t="inlineStr">
        <x:is>
          <x:t xml:space="preserve">Maximiliano Salinas Acuña</x:t>
        </x:is>
      </x:c>
      <x:c r="E38" s="16" t="n">
        <x:v>44741</x:v>
      </x:c>
      <x:c r="F38" s="9" t="n">
        <x:v>5</x:v>
      </x:c>
      <x:c r="G38" s="10" t="inlineStr">
        <x:is>
          <x:t xml:space="preserve">Quedamos conformes con la solución modular; redujo tiempos de obra y residuos en terreno.</x:t>
        </x:is>
      </x:c>
      <x:c r="H38" s="9" t="inlineStr">
        <x:is>
          <x:t xml:space="preserve">Sí</x:t>
        </x:is>
      </x:c>
    </x:row>
    <x:row r="39" ht="32" customHeight="1">
      <x:c r="A39" s="9" t="inlineStr">
        <x:is>
          <x:t xml:space="preserve">TES-0038</x:t>
        </x:is>
      </x:c>
      <x:c r="B39" s="9" t="inlineStr">
        <x:is>
          <x:t xml:space="preserve">PRO-0038</x:t>
        </x:is>
      </x:c>
      <x:c r="C39" s="9" t="inlineStr">
        <x:is>
          <x:t xml:space="preserve">EMP-013</x:t>
        </x:is>
      </x:c>
      <x:c r="D39" s="9" t="inlineStr">
        <x:is>
          <x:t xml:space="preserve">Gonzalo Campos Díaz</x:t>
        </x:is>
      </x:c>
      <x:c r="E39" s="16" t="n">
        <x:v>45739</x:v>
      </x:c>
      <x:c r="F39" s="9" t="n">
        <x:v>4</x:v>
      </x:c>
      <x:c r="G39" s="10" t="inlineStr">
        <x:is>
          <x:t xml:space="preserve">El proyecto se entregó con terminaciones limpias y las instalaciones funcionaron correctamente desde el inicio.</x:t>
        </x:is>
      </x:c>
      <x:c r="H39" s="9" t="inlineStr">
        <x:is>
          <x:t xml:space="preserve">Sí</x:t>
        </x:is>
      </x:c>
    </x:row>
    <x:row r="40" ht="32" customHeight="1">
      <x:c r="A40" s="9" t="inlineStr">
        <x:is>
          <x:t xml:space="preserve">TES-0039</x:t>
        </x:is>
      </x:c>
      <x:c r="B40" s="9" t="inlineStr">
        <x:is>
          <x:t xml:space="preserve">PRO-0039</x:t>
        </x:is>
      </x:c>
      <x:c r="C40" s="9" t="inlineStr">
        <x:is>
          <x:t xml:space="preserve">EMP-013</x:t>
        </x:is>
      </x:c>
      <x:c r="D40" s="9" t="inlineStr">
        <x:is>
          <x:t xml:space="preserve">Paz Lagos Valdés</x:t>
        </x:is>
      </x:c>
      <x:c r="E40" s="16" t="n">
        <x:v>45273</x:v>
      </x:c>
      <x:c r="F40" s="9" t="n">
        <x:v>5</x:v>
      </x:c>
      <x:c r="G40" s="10" t="inlineStr">
        <x:is>
          <x:t xml:space="preserve">El modelo se adaptó bien a la parcela y la postventa respondió en tiempo razonable.</x:t>
        </x:is>
      </x:c>
      <x:c r="H40" s="9" t="inlineStr">
        <x:is>
          <x:t xml:space="preserve">Sí</x:t>
        </x:is>
      </x:c>
    </x:row>
    <x:row r="41" ht="32" customHeight="1">
      <x:c r="A41" s="9" t="inlineStr">
        <x:is>
          <x:t xml:space="preserve">TES-0040</x:t>
        </x:is>
      </x:c>
      <x:c r="B41" s="9" t="inlineStr">
        <x:is>
          <x:t xml:space="preserve">PRO-0040</x:t>
        </x:is>
      </x:c>
      <x:c r="C41" s="9" t="inlineStr">
        <x:is>
          <x:t xml:space="preserve">EMP-014</x:t>
        </x:is>
      </x:c>
      <x:c r="D41" s="9" t="inlineStr">
        <x:is>
          <x:t xml:space="preserve">Simón Bustos Molina</x:t>
        </x:is>
      </x:c>
      <x:c r="E41" s="16" t="n">
        <x:v>44640</x:v>
      </x:c>
      <x:c r="F41" s="9" t="n">
        <x:v>4</x:v>
      </x:c>
      <x:c r="G41" s="10" t="inlineStr">
        <x:is>
          <x:t xml:space="preserve">El modelo se adaptó bien a la parcela y la postventa respondió en tiempo razonable.</x:t>
        </x:is>
      </x:c>
      <x:c r="H41" s="9" t="inlineStr">
        <x:is>
          <x:t xml:space="preserve">Sí</x:t>
        </x:is>
      </x:c>
    </x:row>
    <x:row r="42" ht="32" customHeight="1">
      <x:c r="A42" s="9" t="inlineStr">
        <x:is>
          <x:t xml:space="preserve">TES-0041</x:t>
        </x:is>
      </x:c>
      <x:c r="B42" s="9" t="inlineStr">
        <x:is>
          <x:t xml:space="preserve">PRO-0041</x:t>
        </x:is>
      </x:c>
      <x:c r="C42" s="9" t="inlineStr">
        <x:is>
          <x:t xml:space="preserve">EMP-014</x:t>
        </x:is>
      </x:c>
      <x:c r="D42" s="9" t="inlineStr">
        <x:is>
          <x:t xml:space="preserve">Francisca Muñoz Pérez</x:t>
        </x:is>
      </x:c>
      <x:c r="E42" s="16" t="n">
        <x:v>45707</x:v>
      </x:c>
      <x:c r="F42" s="9" t="n">
        <x:v>5</x:v>
      </x:c>
      <x:c r="G42" s="10" t="inlineStr">
        <x:is>
          <x:t xml:space="preserve">La aislación y los termopaneles mejoraron mucho el confort interior en comparación con nuestra vivienda anterior.</x:t>
        </x:is>
      </x:c>
      <x:c r="H42" s="9" t="inlineStr">
        <x:is>
          <x:t xml:space="preserve">Sí</x:t>
        </x:is>
      </x:c>
    </x:row>
    <x:row r="43" ht="32" customHeight="1">
      <x:c r="A43" s="9" t="inlineStr">
        <x:is>
          <x:t xml:space="preserve">TES-0042</x:t>
        </x:is>
      </x:c>
      <x:c r="B43" s="9" t="inlineStr">
        <x:is>
          <x:t xml:space="preserve">PRO-0042</x:t>
        </x:is>
      </x:c>
      <x:c r="C43" s="9" t="inlineStr">
        <x:is>
          <x:t xml:space="preserve">EMP-014</x:t>
        </x:is>
      </x:c>
      <x:c r="D43" s="9" t="inlineStr">
        <x:is>
          <x:t xml:space="preserve">Isidora Campos Castillo</x:t>
        </x:is>
      </x:c>
      <x:c r="E43" s="16" t="n">
        <x:v>45276</x:v>
      </x:c>
      <x:c r="F43" s="9" t="n">
        <x:v>4</x:v>
      </x:c>
      <x:c r="G43" s="10" t="inlineStr">
        <x:is>
          <x:t xml:space="preserve">Valoramos la rapidez de instalación y la coordinación entre fábrica, transporte y montaje.</x:t>
        </x:is>
      </x:c>
      <x:c r="H43" s="9" t="inlineStr">
        <x:is>
          <x:t xml:space="preserve">Sí</x:t>
        </x:is>
      </x:c>
    </x:row>
    <x:row r="44" ht="32" customHeight="1">
      <x:c r="A44" s="9" t="inlineStr">
        <x:is>
          <x:t xml:space="preserve">TES-0043</x:t>
        </x:is>
      </x:c>
      <x:c r="B44" s="9" t="inlineStr">
        <x:is>
          <x:t xml:space="preserve">PRO-0043</x:t>
        </x:is>
      </x:c>
      <x:c r="C44" s="9" t="inlineStr">
        <x:is>
          <x:t xml:space="preserve">EMP-015</x:t>
        </x:is>
      </x:c>
      <x:c r="D44" s="9" t="inlineStr">
        <x:is>
          <x:t xml:space="preserve">Gonzalo Escobar Torres</x:t>
        </x:is>
      </x:c>
      <x:c r="E44" s="16" t="n">
        <x:v>44413</x:v>
      </x:c>
      <x:c r="F44" s="9" t="n">
        <x:v>5</x:v>
      </x:c>
      <x:c r="G44" s="10" t="inlineStr">
        <x:is>
          <x:t xml:space="preserve">El modelo se adaptó bien a la parcela y la postventa respondió en tiempo razonable.</x:t>
        </x:is>
      </x:c>
      <x:c r="H44" s="9" t="inlineStr">
        <x:is>
          <x:t xml:space="preserve">Sí</x:t>
        </x:is>
      </x:c>
    </x:row>
    <x:row r="45" ht="32" customHeight="1">
      <x:c r="A45" s="9" t="inlineStr">
        <x:is>
          <x:t xml:space="preserve">TES-0044</x:t>
        </x:is>
      </x:c>
      <x:c r="B45" s="9" t="inlineStr">
        <x:is>
          <x:t xml:space="preserve">PRO-0044</x:t>
        </x:is>
      </x:c>
      <x:c r="C45" s="9" t="inlineStr">
        <x:is>
          <x:t xml:space="preserve">EMP-015</x:t>
        </x:is>
      </x:c>
      <x:c r="D45" s="9" t="inlineStr">
        <x:is>
          <x:t xml:space="preserve">Sofía Sandoval Pérez</x:t>
        </x:is>
      </x:c>
      <x:c r="E45" s="16" t="n">
        <x:v>45469</x:v>
      </x:c>
      <x:c r="F45" s="9" t="n">
        <x:v>5</x:v>
      </x:c>
      <x:c r="G45" s="10" t="inlineStr">
        <x:is>
          <x:t xml:space="preserve">La obra llegó panelizada y el montaje fue muy ordenado. Buen desempeño térmico durante invierno.</x:t>
        </x:is>
      </x:c>
      <x:c r="H45" s="9" t="inlineStr">
        <x:is>
          <x:t xml:space="preserve">Sí</x:t>
        </x:is>
      </x:c>
    </x:row>
    <x:row r="46" ht="32" customHeight="1">
      <x:c r="A46" s="9" t="inlineStr">
        <x:is>
          <x:t xml:space="preserve">TES-0045</x:t>
        </x:is>
      </x:c>
      <x:c r="B46" s="9" t="inlineStr">
        <x:is>
          <x:t xml:space="preserve">PRO-0045</x:t>
        </x:is>
      </x:c>
      <x:c r="C46" s="9" t="inlineStr">
        <x:is>
          <x:t xml:space="preserve">EMP-015</x:t>
        </x:is>
      </x:c>
      <x:c r="D46" s="9" t="inlineStr">
        <x:is>
          <x:t xml:space="preserve">Manuel Soto Sepúlveda</x:t>
        </x:is>
      </x:c>
      <x:c r="E46" s="16" t="n">
        <x:v>45801</x:v>
      </x:c>
      <x:c r="F46" s="9" t="n">
        <x:v>5</x:v>
      </x:c>
      <x:c r="G46" s="10" t="inlineStr">
        <x:is>
          <x:t xml:space="preserve">Quedamos conformes con la solución modular; redujo tiempos de obra y residuos en terreno.</x:t>
        </x:is>
      </x:c>
      <x:c r="H46" s="9" t="inlineStr">
        <x:is>
          <x:t xml:space="preserve">Sí</x:t>
        </x:is>
      </x:c>
    </x:row>
    <x:row r="47" ht="32" customHeight="1">
      <x:c r="A47" s="9" t="inlineStr">
        <x:is>
          <x:t xml:space="preserve">TES-0046</x:t>
        </x:is>
      </x:c>
      <x:c r="B47" s="9" t="inlineStr">
        <x:is>
          <x:t xml:space="preserve">PRO-0046</x:t>
        </x:is>
      </x:c>
      <x:c r="C47" s="9" t="inlineStr">
        <x:is>
          <x:t xml:space="preserve">EMP-016</x:t>
        </x:is>
      </x:c>
      <x:c r="D47" s="9" t="inlineStr">
        <x:is>
          <x:t xml:space="preserve">Elena Orellana Peña</x:t>
        </x:is>
      </x:c>
      <x:c r="E47" s="16" t="n">
        <x:v>45883</x:v>
      </x:c>
      <x:c r="F47" s="9" t="n">
        <x:v>5</x:v>
      </x:c>
      <x:c r="G47" s="10" t="inlineStr">
        <x:is>
          <x:t xml:space="preserve">El modelo se adaptó bien a la parcela y la postventa respondió en tiempo razonable.</x:t>
        </x:is>
      </x:c>
      <x:c r="H47" s="9" t="inlineStr">
        <x:is>
          <x:t xml:space="preserve">Sí</x:t>
        </x:is>
      </x:c>
    </x:row>
    <x:row r="48" ht="32" customHeight="1">
      <x:c r="A48" s="9" t="inlineStr">
        <x:is>
          <x:t xml:space="preserve">TES-0047</x:t>
        </x:is>
      </x:c>
      <x:c r="B48" s="9" t="inlineStr">
        <x:is>
          <x:t xml:space="preserve">PRO-0047</x:t>
        </x:is>
      </x:c>
      <x:c r="C48" s="9" t="inlineStr">
        <x:is>
          <x:t xml:space="preserve">EMP-016</x:t>
        </x:is>
      </x:c>
      <x:c r="D48" s="9" t="inlineStr">
        <x:is>
          <x:t xml:space="preserve">Benjamín Bravo Sandoval</x:t>
        </x:is>
      </x:c>
      <x:c r="E48" s="16" t="n">
        <x:v>45756</x:v>
      </x:c>
      <x:c r="F48" s="9" t="n">
        <x:v>5</x:v>
      </x:c>
      <x:c r="G48" s="10" t="inlineStr">
        <x:is>
          <x:t xml:space="preserve">La aislación y los termopaneles mejoraron mucho el confort interior en comparación con nuestra vivienda anterior.</x:t>
        </x:is>
      </x:c>
      <x:c r="H48" s="9" t="inlineStr">
        <x:is>
          <x:t xml:space="preserve">Sí</x:t>
        </x:is>
      </x:c>
    </x:row>
    <x:row r="49" ht="32" customHeight="1">
      <x:c r="A49" s="9" t="inlineStr">
        <x:is>
          <x:t xml:space="preserve">TES-0048</x:t>
        </x:is>
      </x:c>
      <x:c r="B49" s="9" t="inlineStr">
        <x:is>
          <x:t xml:space="preserve">PRO-0048</x:t>
        </x:is>
      </x:c>
      <x:c r="C49" s="9" t="inlineStr">
        <x:is>
          <x:t xml:space="preserve">EMP-016</x:t>
        </x:is>
      </x:c>
      <x:c r="D49" s="9" t="inlineStr">
        <x:is>
          <x:t xml:space="preserve">Álvaro Díaz Fuentes</x:t>
        </x:is>
      </x:c>
      <x:c r="E49" s="16" t="n">
        <x:v>44761</x:v>
      </x:c>
      <x:c r="F49" s="9" t="n">
        <x:v>5</x:v>
      </x:c>
      <x:c r="G49" s="10" t="inlineStr">
        <x:is>
          <x:t xml:space="preserve">Valoramos la rapidez de instalación y la coordinación entre fábrica, transporte y montaje.</x:t>
        </x:is>
      </x:c>
      <x:c r="H49" s="9" t="inlineStr">
        <x:is>
          <x:t xml:space="preserve">Sí</x:t>
        </x:is>
      </x:c>
    </x:row>
    <x:row r="50" ht="32" customHeight="1">
      <x:c r="A50" s="9" t="inlineStr">
        <x:is>
          <x:t xml:space="preserve">TES-0049</x:t>
        </x:is>
      </x:c>
      <x:c r="B50" s="9" t="inlineStr">
        <x:is>
          <x:t xml:space="preserve">PRO-0049</x:t>
        </x:is>
      </x:c>
      <x:c r="C50" s="9" t="inlineStr">
        <x:is>
          <x:t xml:space="preserve">EMP-017</x:t>
        </x:is>
      </x:c>
      <x:c r="D50" s="9" t="inlineStr">
        <x:is>
          <x:t xml:space="preserve">Camila Castillo Cortés</x:t>
        </x:is>
      </x:c>
      <x:c r="E50" s="16" t="n">
        <x:v>46070</x:v>
      </x:c>
      <x:c r="F50" s="9" t="n">
        <x:v>4</x:v>
      </x:c>
      <x:c r="G50" s="10" t="inlineStr">
        <x:is>
          <x:t xml:space="preserve">El proyecto se entregó con terminaciones limpias y las instalaciones funcionaron correctamente desde el inicio.</x:t>
        </x:is>
      </x:c>
      <x:c r="H50" s="9" t="inlineStr">
        <x:is>
          <x:t xml:space="preserve">Sí</x:t>
        </x:is>
      </x:c>
    </x:row>
    <x:row r="51" ht="32" customHeight="1">
      <x:c r="A51" s="9" t="inlineStr">
        <x:is>
          <x:t xml:space="preserve">TES-0050</x:t>
        </x:is>
      </x:c>
      <x:c r="B51" s="9" t="inlineStr">
        <x:is>
          <x:t xml:space="preserve">PRO-0050</x:t>
        </x:is>
      </x:c>
      <x:c r="C51" s="9" t="inlineStr">
        <x:is>
          <x:t xml:space="preserve">EMP-017</x:t>
        </x:is>
      </x:c>
      <x:c r="D51" s="9" t="inlineStr">
        <x:is>
          <x:t xml:space="preserve">Josefa Cuevas Navarro</x:t>
        </x:is>
      </x:c>
      <x:c r="E51" s="16" t="n">
        <x:v>45826</x:v>
      </x:c>
      <x:c r="F51" s="9" t="n">
        <x:v>5</x:v>
      </x:c>
      <x:c r="G51" s="10" t="inlineStr">
        <x:is>
          <x:t xml:space="preserve">Valoramos la rapidez de instalación y la coordinación entre fábrica, transporte y montaje.</x:t>
        </x:is>
      </x:c>
      <x:c r="H51" s="9" t="inlineStr">
        <x:is>
          <x:t xml:space="preserve">Sí</x:t>
        </x:is>
      </x:c>
    </x:row>
    <x:row r="52" ht="32" customHeight="1">
      <x:c r="A52" s="9" t="inlineStr">
        <x:is>
          <x:t xml:space="preserve">TES-0051</x:t>
        </x:is>
      </x:c>
      <x:c r="B52" s="9" t="inlineStr">
        <x:is>
          <x:t xml:space="preserve">PRO-0051</x:t>
        </x:is>
      </x:c>
      <x:c r="C52" s="9" t="inlineStr">
        <x:is>
          <x:t xml:space="preserve">EMP-017</x:t>
        </x:is>
      </x:c>
      <x:c r="D52" s="9" t="inlineStr">
        <x:is>
          <x:t xml:space="preserve">Matías Henríquez Bustos</x:t>
        </x:is>
      </x:c>
      <x:c r="E52" s="16" t="n">
        <x:v>45028</x:v>
      </x:c>
      <x:c r="F52" s="9" t="n">
        <x:v>5</x:v>
      </x:c>
      <x:c r="G52" s="10" t="inlineStr">
        <x:is>
          <x:t xml:space="preserve">El modelo se adaptó bien a la parcela y la postventa respondió en tiempo razonable.</x:t>
        </x:is>
      </x:c>
      <x:c r="H52" s="9" t="inlineStr">
        <x:is>
          <x:t xml:space="preserve">Sí</x:t>
        </x:is>
      </x:c>
    </x:row>
    <x:row r="53" ht="32" customHeight="1">
      <x:c r="A53" s="9" t="inlineStr">
        <x:is>
          <x:t xml:space="preserve">TES-0052</x:t>
        </x:is>
      </x:c>
      <x:c r="B53" s="9" t="inlineStr">
        <x:is>
          <x:t xml:space="preserve">PRO-0052</x:t>
        </x:is>
      </x:c>
      <x:c r="C53" s="9" t="inlineStr">
        <x:is>
          <x:t xml:space="preserve">EMP-018</x:t>
        </x:is>
      </x:c>
      <x:c r="D53" s="9" t="inlineStr">
        <x:is>
          <x:t xml:space="preserve">Agustín Cuevas Mella</x:t>
        </x:is>
      </x:c>
      <x:c r="E53" s="16" t="n">
        <x:v>45065</x:v>
      </x:c>
      <x:c r="F53" s="9" t="n">
        <x:v>4</x:v>
      </x:c>
      <x:c r="G53" s="10" t="inlineStr">
        <x:is>
          <x:t xml:space="preserve">La obra llegó panelizada y el montaje fue muy ordenado. Buen desempeño térmico durante invierno.</x:t>
        </x:is>
      </x:c>
      <x:c r="H53" s="9" t="inlineStr">
        <x:is>
          <x:t xml:space="preserve">Sí</x:t>
        </x:is>
      </x:c>
    </x:row>
    <x:row r="54" ht="32" customHeight="1">
      <x:c r="A54" s="9" t="inlineStr">
        <x:is>
          <x:t xml:space="preserve">TES-0053</x:t>
        </x:is>
      </x:c>
      <x:c r="B54" s="9" t="inlineStr">
        <x:is>
          <x:t xml:space="preserve">PRO-0053</x:t>
        </x:is>
      </x:c>
      <x:c r="C54" s="9" t="inlineStr">
        <x:is>
          <x:t xml:space="preserve">EMP-018</x:t>
        </x:is>
      </x:c>
      <x:c r="D54" s="9" t="inlineStr">
        <x:is>
          <x:t xml:space="preserve">Constanza Contreras Vargas</x:t>
        </x:is>
      </x:c>
      <x:c r="E54" s="16" t="n">
        <x:v>45202</x:v>
      </x:c>
      <x:c r="F54" s="9" t="n">
        <x:v>4</x:v>
      </x:c>
      <x:c r="G54" s="10" t="inlineStr">
        <x:is>
          <x:t xml:space="preserve">La obra llegó panelizada y el montaje fue muy ordenado. Buen desempeño térmico durante invierno.</x:t>
        </x:is>
      </x:c>
      <x:c r="H54" s="9" t="inlineStr">
        <x:is>
          <x:t xml:space="preserve">Sí</x:t>
        </x:is>
      </x:c>
    </x:row>
    <x:row r="55" ht="32" customHeight="1">
      <x:c r="A55" s="9" t="inlineStr">
        <x:is>
          <x:t xml:space="preserve">TES-0054</x:t>
        </x:is>
      </x:c>
      <x:c r="B55" s="9" t="inlineStr">
        <x:is>
          <x:t xml:space="preserve">PRO-0054</x:t>
        </x:is>
      </x:c>
      <x:c r="C55" s="9" t="inlineStr">
        <x:is>
          <x:t xml:space="preserve">EMP-018</x:t>
        </x:is>
      </x:c>
      <x:c r="D55" s="9" t="inlineStr">
        <x:is>
          <x:t xml:space="preserve">Cristóbal Campos Bahamondes</x:t>
        </x:is>
      </x:c>
      <x:c r="E55" s="16" t="n">
        <x:v>45623</x:v>
      </x:c>
      <x:c r="F55" s="9" t="n">
        <x:v>5</x:v>
      </x:c>
      <x:c r="G55" s="10" t="inlineStr">
        <x:is>
          <x:t xml:space="preserve">Quedamos conformes con la solución modular; redujo tiempos de obra y residuos en terreno.</x:t>
        </x:is>
      </x:c>
      <x:c r="H55" s="9" t="inlineStr">
        <x:is>
          <x:t xml:space="preserve">Sí</x:t>
        </x:is>
      </x:c>
    </x:row>
    <x:row r="56" ht="32" customHeight="1">
      <x:c r="A56" s="9" t="inlineStr">
        <x:is>
          <x:t xml:space="preserve">TES-0055</x:t>
        </x:is>
      </x:c>
      <x:c r="B56" s="9" t="inlineStr">
        <x:is>
          <x:t xml:space="preserve">PRO-0055</x:t>
        </x:is>
      </x:c>
      <x:c r="C56" s="9" t="inlineStr">
        <x:is>
          <x:t xml:space="preserve">EMP-019</x:t>
        </x:is>
      </x:c>
      <x:c r="D56" s="9" t="inlineStr">
        <x:is>
          <x:t xml:space="preserve">Agustín Araya Pino</x:t>
        </x:is>
      </x:c>
      <x:c r="E56" s="16" t="n">
        <x:v>44413</x:v>
      </x:c>
      <x:c r="F56" s="9" t="n">
        <x:v>4</x:v>
      </x:c>
      <x:c r="G56" s="10" t="inlineStr">
        <x:is>
          <x:t xml:space="preserve">El proyecto se entregó con terminaciones limpias y las instalaciones funcionaron correctamente desde el inicio.</x:t>
        </x:is>
      </x:c>
      <x:c r="H56" s="9" t="inlineStr">
        <x:is>
          <x:t xml:space="preserve">Sí</x:t>
        </x:is>
      </x:c>
    </x:row>
    <x:row r="57" ht="32" customHeight="1">
      <x:c r="A57" s="9" t="inlineStr">
        <x:is>
          <x:t xml:space="preserve">TES-0056</x:t>
        </x:is>
      </x:c>
      <x:c r="B57" s="9" t="inlineStr">
        <x:is>
          <x:t xml:space="preserve">PRO-0056</x:t>
        </x:is>
      </x:c>
      <x:c r="C57" s="9" t="inlineStr">
        <x:is>
          <x:t xml:space="preserve">EMP-019</x:t>
        </x:is>
      </x:c>
      <x:c r="D57" s="9" t="inlineStr">
        <x:is>
          <x:t xml:space="preserve">Paula Reyes Contreras</x:t>
        </x:is>
      </x:c>
      <x:c r="E57" s="16" t="n">
        <x:v>44538</x:v>
      </x:c>
      <x:c r="F57" s="9" t="n">
        <x:v>5</x:v>
      </x:c>
      <x:c r="G57" s="10" t="inlineStr">
        <x:is>
          <x:t xml:space="preserve">Quedamos conformes con la solución modular; redujo tiempos de obra y residuos en terreno.</x:t>
        </x:is>
      </x:c>
      <x:c r="H57" s="9" t="inlineStr">
        <x:is>
          <x:t xml:space="preserve">Sí</x:t>
        </x:is>
      </x:c>
    </x:row>
    <x:row r="58" ht="32" customHeight="1">
      <x:c r="A58" s="9" t="inlineStr">
        <x:is>
          <x:t xml:space="preserve">TES-0057</x:t>
        </x:is>
      </x:c>
      <x:c r="B58" s="9" t="inlineStr">
        <x:is>
          <x:t xml:space="preserve">PRO-0057</x:t>
        </x:is>
      </x:c>
      <x:c r="C58" s="9" t="inlineStr">
        <x:is>
          <x:t xml:space="preserve">EMP-019</x:t>
        </x:is>
      </x:c>
      <x:c r="D58" s="9" t="inlineStr">
        <x:is>
          <x:t xml:space="preserve">Catalina Reyes Sepúlveda</x:t>
        </x:is>
      </x:c>
      <x:c r="E58" s="16" t="n">
        <x:v>45600</x:v>
      </x:c>
      <x:c r="F58" s="9" t="n">
        <x:v>5</x:v>
      </x:c>
      <x:c r="G58" s="10" t="inlineStr">
        <x:is>
          <x:t xml:space="preserve">La aislación y los termopaneles mejoraron mucho el confort interior en comparación con nuestra vivienda anterior.</x:t>
        </x:is>
      </x:c>
      <x:c r="H58" s="9" t="inlineStr">
        <x:is>
          <x:t xml:space="preserve">Sí</x:t>
        </x:is>
      </x:c>
    </x:row>
    <x:row r="59" ht="32" customHeight="1">
      <x:c r="A59" s="9" t="inlineStr">
        <x:is>
          <x:t xml:space="preserve">TES-0058</x:t>
        </x:is>
      </x:c>
      <x:c r="B59" s="9" t="inlineStr">
        <x:is>
          <x:t xml:space="preserve">PRO-0058</x:t>
        </x:is>
      </x:c>
      <x:c r="C59" s="9" t="inlineStr">
        <x:is>
          <x:t xml:space="preserve">EMP-020</x:t>
        </x:is>
      </x:c>
      <x:c r="D59" s="9" t="inlineStr">
        <x:is>
          <x:t xml:space="preserve">Rodrigo Paredes Pérez</x:t>
        </x:is>
      </x:c>
      <x:c r="E59" s="16" t="n">
        <x:v>45009</x:v>
      </x:c>
      <x:c r="F59" s="9" t="n">
        <x:v>5</x:v>
      </x:c>
      <x:c r="G59" s="10" t="inlineStr">
        <x:is>
          <x:t xml:space="preserve">El modelo se adaptó bien a la parcela y la postventa respondió en tiempo razonable.</x:t>
        </x:is>
      </x:c>
      <x:c r="H59" s="9" t="inlineStr">
        <x:is>
          <x:t xml:space="preserve">Sí</x:t>
        </x:is>
      </x:c>
    </x:row>
    <x:row r="60" ht="32" customHeight="1">
      <x:c r="A60" s="9" t="inlineStr">
        <x:is>
          <x:t xml:space="preserve">TES-0059</x:t>
        </x:is>
      </x:c>
      <x:c r="B60" s="9" t="inlineStr">
        <x:is>
          <x:t xml:space="preserve">PRO-0059</x:t>
        </x:is>
      </x:c>
      <x:c r="C60" s="9" t="inlineStr">
        <x:is>
          <x:t xml:space="preserve">EMP-020</x:t>
        </x:is>
      </x:c>
      <x:c r="D60" s="9" t="inlineStr">
        <x:is>
          <x:t xml:space="preserve">Esteban Pino Henríquez</x:t>
        </x:is>
      </x:c>
      <x:c r="E60" s="16" t="n">
        <x:v>45594</x:v>
      </x:c>
      <x:c r="F60" s="9" t="n">
        <x:v>4</x:v>
      </x:c>
      <x:c r="G60" s="10" t="inlineStr">
        <x:is>
          <x:t xml:space="preserve">Quedamos conformes con la solución modular; redujo tiempos de obra y residuos en terreno.</x:t>
        </x:is>
      </x:c>
      <x:c r="H60" s="9" t="inlineStr">
        <x:is>
          <x:t xml:space="preserve">Sí</x:t>
        </x:is>
      </x:c>
    </x:row>
    <x:row r="61" ht="32" customHeight="1">
      <x:c r="A61" s="9" t="inlineStr">
        <x:is>
          <x:t xml:space="preserve">TES-0060</x:t>
        </x:is>
      </x:c>
      <x:c r="B61" s="9" t="inlineStr">
        <x:is>
          <x:t xml:space="preserve">PRO-0060</x:t>
        </x:is>
      </x:c>
      <x:c r="C61" s="9" t="inlineStr">
        <x:is>
          <x:t xml:space="preserve">EMP-020</x:t>
        </x:is>
      </x:c>
      <x:c r="D61" s="9" t="inlineStr">
        <x:is>
          <x:t xml:space="preserve">Martín Rojas Molina</x:t>
        </x:is>
      </x:c>
      <x:c r="E61" s="16" t="n">
        <x:v>44270</x:v>
      </x:c>
      <x:c r="F61" s="9" t="n">
        <x:v>4</x:v>
      </x:c>
      <x:c r="G61" s="10" t="inlineStr">
        <x:is>
          <x:t xml:space="preserve">El modelo se adaptó bien a la parcela y la postventa respondió en tiempo razonable.</x:t>
        </x:is>
      </x:c>
      <x:c r="H61" s="9" t="inlineStr">
        <x:is>
          <x:t xml:space="preserve">Sí</x:t>
        </x:is>
      </x:c>
    </x:row>
    <x:row r="62" ht="32" customHeight="1">
      <x:c r="A62" s="9" t="inlineStr">
        <x:is>
          <x:t xml:space="preserve">TES-0061</x:t>
        </x:is>
      </x:c>
      <x:c r="B62" s="9" t="inlineStr">
        <x:is>
          <x:t xml:space="preserve">PRO-0061</x:t>
        </x:is>
      </x:c>
      <x:c r="C62" s="9" t="inlineStr">
        <x:is>
          <x:t xml:space="preserve">EMP-021</x:t>
        </x:is>
      </x:c>
      <x:c r="D62" s="9" t="inlineStr">
        <x:is>
          <x:t xml:space="preserve">Ricardo Rojas Leiva</x:t>
        </x:is>
      </x:c>
      <x:c r="E62" s="16" t="n">
        <x:v>44533</x:v>
      </x:c>
      <x:c r="F62" s="9" t="n">
        <x:v>4</x:v>
      </x:c>
      <x:c r="G62" s="10" t="inlineStr">
        <x:is>
          <x:t xml:space="preserve">La aislación y los termopaneles mejoraron mucho el confort interior en comparación con nuestra vivienda anterior.</x:t>
        </x:is>
      </x:c>
      <x:c r="H62" s="9" t="inlineStr">
        <x:is>
          <x:t xml:space="preserve">Sí</x:t>
        </x:is>
      </x:c>
    </x:row>
    <x:row r="63" ht="32" customHeight="1">
      <x:c r="A63" s="9" t="inlineStr">
        <x:is>
          <x:t xml:space="preserve">TES-0062</x:t>
        </x:is>
      </x:c>
      <x:c r="B63" s="9" t="inlineStr">
        <x:is>
          <x:t xml:space="preserve">PRO-0062</x:t>
        </x:is>
      </x:c>
      <x:c r="C63" s="9" t="inlineStr">
        <x:is>
          <x:t xml:space="preserve">EMP-021</x:t>
        </x:is>
      </x:c>
      <x:c r="D63" s="9" t="inlineStr">
        <x:is>
          <x:t xml:space="preserve">Renata Bravo Cuevas</x:t>
        </x:is>
      </x:c>
      <x:c r="E63" s="16" t="n">
        <x:v>44581</x:v>
      </x:c>
      <x:c r="F63" s="9" t="n">
        <x:v>5</x:v>
      </x:c>
      <x:c r="G63" s="10" t="inlineStr">
        <x:is>
          <x:t xml:space="preserve">El proyecto se entregó con terminaciones limpias y las instalaciones funcionaron correctamente desde el inicio.</x:t>
        </x:is>
      </x:c>
      <x:c r="H63" s="9" t="inlineStr">
        <x:is>
          <x:t xml:space="preserve">Sí</x:t>
        </x:is>
      </x:c>
    </x:row>
    <x:row r="64" ht="32" customHeight="1">
      <x:c r="A64" s="9" t="inlineStr">
        <x:is>
          <x:t xml:space="preserve">TES-0063</x:t>
        </x:is>
      </x:c>
      <x:c r="B64" s="9" t="inlineStr">
        <x:is>
          <x:t xml:space="preserve">PRO-0063</x:t>
        </x:is>
      </x:c>
      <x:c r="C64" s="9" t="inlineStr">
        <x:is>
          <x:t xml:space="preserve">EMP-021</x:t>
        </x:is>
      </x:c>
      <x:c r="D64" s="9" t="inlineStr">
        <x:is>
          <x:t xml:space="preserve">Lucas Díaz Molina</x:t>
        </x:is>
      </x:c>
      <x:c r="E64" s="16" t="n">
        <x:v>45106</x:v>
      </x:c>
      <x:c r="F64" s="9" t="n">
        <x:v>4</x:v>
      </x:c>
      <x:c r="G64" s="10" t="inlineStr">
        <x:is>
          <x:t xml:space="preserve">El proyecto se entregó con terminaciones limpias y las instalaciones funcionaron correctamente desde el inicio.</x:t>
        </x:is>
      </x:c>
      <x:c r="H64" s="9" t="inlineStr">
        <x:is>
          <x:t xml:space="preserve">Sí</x:t>
        </x:is>
      </x:c>
    </x:row>
    <x:row r="65" ht="32" customHeight="1">
      <x:c r="A65" s="9" t="inlineStr">
        <x:is>
          <x:t xml:space="preserve">TES-0064</x:t>
        </x:is>
      </x:c>
      <x:c r="B65" s="9" t="inlineStr">
        <x:is>
          <x:t xml:space="preserve">PRO-0064</x:t>
        </x:is>
      </x:c>
      <x:c r="C65" s="9" t="inlineStr">
        <x:is>
          <x:t xml:space="preserve">EMP-022</x:t>
        </x:is>
      </x:c>
      <x:c r="D65" s="9" t="inlineStr">
        <x:is>
          <x:t xml:space="preserve">Vicente Silva Fuentes</x:t>
        </x:is>
      </x:c>
      <x:c r="E65" s="16" t="n">
        <x:v>44563</x:v>
      </x:c>
      <x:c r="F65" s="9" t="n">
        <x:v>4</x:v>
      </x:c>
      <x:c r="G65" s="10" t="inlineStr">
        <x:is>
          <x:t xml:space="preserve">La obra llegó panelizada y el montaje fue muy ordenado. Buen desempeño térmico durante invierno.</x:t>
        </x:is>
      </x:c>
      <x:c r="H65" s="9" t="inlineStr">
        <x:is>
          <x:t xml:space="preserve">Sí</x:t>
        </x:is>
      </x:c>
    </x:row>
    <x:row r="66" ht="32" customHeight="1">
      <x:c r="A66" s="9" t="inlineStr">
        <x:is>
          <x:t xml:space="preserve">TES-0065</x:t>
        </x:is>
      </x:c>
      <x:c r="B66" s="9" t="inlineStr">
        <x:is>
          <x:t xml:space="preserve">PRO-0065</x:t>
        </x:is>
      </x:c>
      <x:c r="C66" s="9" t="inlineStr">
        <x:is>
          <x:t xml:space="preserve">EMP-022</x:t>
        </x:is>
      </x:c>
      <x:c r="D66" s="9" t="inlineStr">
        <x:is>
          <x:t xml:space="preserve">Matías Pérez Castillo</x:t>
        </x:is>
      </x:c>
      <x:c r="E66" s="16" t="n">
        <x:v>44416</x:v>
      </x:c>
      <x:c r="F66" s="9" t="n">
        <x:v>5</x:v>
      </x:c>
      <x:c r="G66" s="10" t="inlineStr">
        <x:is>
          <x:t xml:space="preserve">Valoramos la rapidez de instalación y la coordinación entre fábrica, transporte y montaje.</x:t>
        </x:is>
      </x:c>
      <x:c r="H66" s="9" t="inlineStr">
        <x:is>
          <x:t xml:space="preserve">Sí</x:t>
        </x:is>
      </x:c>
    </x:row>
    <x:row r="67" ht="32" customHeight="1">
      <x:c r="A67" s="9" t="inlineStr">
        <x:is>
          <x:t xml:space="preserve">TES-0066</x:t>
        </x:is>
      </x:c>
      <x:c r="B67" s="9" t="inlineStr">
        <x:is>
          <x:t xml:space="preserve">PRO-0066</x:t>
        </x:is>
      </x:c>
      <x:c r="C67" s="9" t="inlineStr">
        <x:is>
          <x:t xml:space="preserve">EMP-022</x:t>
        </x:is>
      </x:c>
      <x:c r="D67" s="9" t="inlineStr">
        <x:is>
          <x:t xml:space="preserve">Manuel Rojas Sandoval</x:t>
        </x:is>
      </x:c>
      <x:c r="E67" s="16" t="n">
        <x:v>44659</x:v>
      </x:c>
      <x:c r="F67" s="9" t="n">
        <x:v>5</x:v>
      </x:c>
      <x:c r="G67" s="10" t="inlineStr">
        <x:is>
          <x:t xml:space="preserve">La obra llegó panelizada y el montaje fue muy ordenado. Buen desempeño térmico durante invierno.</x:t>
        </x:is>
      </x:c>
      <x:c r="H67" s="9" t="inlineStr">
        <x:is>
          <x:t xml:space="preserve">Sí</x:t>
        </x:is>
      </x:c>
    </x:row>
    <x:row r="68" ht="32" customHeight="1">
      <x:c r="A68" s="9" t="inlineStr">
        <x:is>
          <x:t xml:space="preserve">TES-0067</x:t>
        </x:is>
      </x:c>
      <x:c r="B68" s="9" t="inlineStr">
        <x:is>
          <x:t xml:space="preserve">PRO-0067</x:t>
        </x:is>
      </x:c>
      <x:c r="C68" s="9" t="inlineStr">
        <x:is>
          <x:t xml:space="preserve">EMP-023</x:t>
        </x:is>
      </x:c>
      <x:c r="D68" s="9" t="inlineStr">
        <x:is>
          <x:t xml:space="preserve">Esteban Peña Farías</x:t>
        </x:is>
      </x:c>
      <x:c r="E68" s="16" t="n">
        <x:v>44743</x:v>
      </x:c>
      <x:c r="F68" s="9" t="n">
        <x:v>4</x:v>
      </x:c>
      <x:c r="G68" s="10" t="inlineStr">
        <x:is>
          <x:t xml:space="preserve">La obra llegó panelizada y el montaje fue muy ordenado. Buen desempeño térmico durante invierno.</x:t>
        </x:is>
      </x:c>
      <x:c r="H68" s="9" t="inlineStr">
        <x:is>
          <x:t xml:space="preserve">Sí</x:t>
        </x:is>
      </x:c>
    </x:row>
    <x:row r="69" ht="32" customHeight="1">
      <x:c r="A69" s="9" t="inlineStr">
        <x:is>
          <x:t xml:space="preserve">TES-0068</x:t>
        </x:is>
      </x:c>
      <x:c r="B69" s="9" t="inlineStr">
        <x:is>
          <x:t xml:space="preserve">PRO-0068</x:t>
        </x:is>
      </x:c>
      <x:c r="C69" s="9" t="inlineStr">
        <x:is>
          <x:t xml:space="preserve">EMP-023</x:t>
        </x:is>
      </x:c>
      <x:c r="D69" s="9" t="inlineStr">
        <x:is>
          <x:t xml:space="preserve">Sebastián Vera Escobar</x:t>
        </x:is>
      </x:c>
      <x:c r="E69" s="16" t="n">
        <x:v>44740</x:v>
      </x:c>
      <x:c r="F69" s="9" t="n">
        <x:v>5</x:v>
      </x:c>
      <x:c r="G69" s="10" t="inlineStr">
        <x:is>
          <x:t xml:space="preserve">El proyecto se entregó con terminaciones limpias y las instalaciones funcionaron correctamente desde el inicio.</x:t>
        </x:is>
      </x:c>
      <x:c r="H69" s="9" t="inlineStr">
        <x:is>
          <x:t xml:space="preserve">Sí</x:t>
        </x:is>
      </x:c>
    </x:row>
    <x:row r="70" ht="32" customHeight="1">
      <x:c r="A70" s="9" t="inlineStr">
        <x:is>
          <x:t xml:space="preserve">TES-0069</x:t>
        </x:is>
      </x:c>
      <x:c r="B70" s="9" t="inlineStr">
        <x:is>
          <x:t xml:space="preserve">PRO-0069</x:t>
        </x:is>
      </x:c>
      <x:c r="C70" s="9" t="inlineStr">
        <x:is>
          <x:t xml:space="preserve">EMP-023</x:t>
        </x:is>
      </x:c>
      <x:c r="D70" s="9" t="inlineStr">
        <x:is>
          <x:t xml:space="preserve">Renata Tapia Bustos</x:t>
        </x:is>
      </x:c>
      <x:c r="E70" s="16" t="n">
        <x:v>45473</x:v>
      </x:c>
      <x:c r="F70" s="9" t="n">
        <x:v>5</x:v>
      </x:c>
      <x:c r="G70" s="10" t="inlineStr">
        <x:is>
          <x:t xml:space="preserve">Valoramos la rapidez de instalación y la coordinación entre fábrica, transporte y montaje.</x:t>
        </x:is>
      </x:c>
      <x:c r="H70" s="9" t="inlineStr">
        <x:is>
          <x:t xml:space="preserve">Sí</x:t>
        </x:is>
      </x:c>
    </x:row>
    <x:row r="71" ht="32" customHeight="1">
      <x:c r="A71" s="9" t="inlineStr">
        <x:is>
          <x:t xml:space="preserve">TES-0070</x:t>
        </x:is>
      </x:c>
      <x:c r="B71" s="9" t="inlineStr">
        <x:is>
          <x:t xml:space="preserve">PRO-0070</x:t>
        </x:is>
      </x:c>
      <x:c r="C71" s="9" t="inlineStr">
        <x:is>
          <x:t xml:space="preserve">EMP-024</x:t>
        </x:is>
      </x:c>
      <x:c r="D71" s="9" t="inlineStr">
        <x:is>
          <x:t xml:space="preserve">Vicente Venegas Mella</x:t>
        </x:is>
      </x:c>
      <x:c r="E71" s="16" t="n">
        <x:v>45246</x:v>
      </x:c>
      <x:c r="F71" s="9" t="n">
        <x:v>5</x:v>
      </x:c>
      <x:c r="G71" s="10" t="inlineStr">
        <x:is>
          <x:t xml:space="preserve">Valoramos la rapidez de instalación y la coordinación entre fábrica, transporte y montaje.</x:t>
        </x:is>
      </x:c>
      <x:c r="H71" s="9" t="inlineStr">
        <x:is>
          <x:t xml:space="preserve">Sí</x:t>
        </x:is>
      </x:c>
    </x:row>
    <x:row r="72" ht="32" customHeight="1">
      <x:c r="A72" s="9" t="inlineStr">
        <x:is>
          <x:t xml:space="preserve">TES-0071</x:t>
        </x:is>
      </x:c>
      <x:c r="B72" s="9" t="inlineStr">
        <x:is>
          <x:t xml:space="preserve">PRO-0071</x:t>
        </x:is>
      </x:c>
      <x:c r="C72" s="9" t="inlineStr">
        <x:is>
          <x:t xml:space="preserve">EMP-024</x:t>
        </x:is>
      </x:c>
      <x:c r="D72" s="9" t="inlineStr">
        <x:is>
          <x:t xml:space="preserve">Benjamín Bravo Núñez</x:t>
        </x:is>
      </x:c>
      <x:c r="E72" s="16" t="n">
        <x:v>44407</x:v>
      </x:c>
      <x:c r="F72" s="9" t="n">
        <x:v>5</x:v>
      </x:c>
      <x:c r="G72" s="10" t="inlineStr">
        <x:is>
          <x:t xml:space="preserve">Valoramos la rapidez de instalación y la coordinación entre fábrica, transporte y montaje.</x:t>
        </x:is>
      </x:c>
      <x:c r="H72" s="9" t="inlineStr">
        <x:is>
          <x:t xml:space="preserve">Sí</x:t>
        </x:is>
      </x:c>
    </x:row>
    <x:row r="73" ht="32" customHeight="1">
      <x:c r="A73" s="9" t="inlineStr">
        <x:is>
          <x:t xml:space="preserve">TES-0072</x:t>
        </x:is>
      </x:c>
      <x:c r="B73" s="9" t="inlineStr">
        <x:is>
          <x:t xml:space="preserve">PRO-0072</x:t>
        </x:is>
      </x:c>
      <x:c r="C73" s="9" t="inlineStr">
        <x:is>
          <x:t xml:space="preserve">EMP-024</x:t>
        </x:is>
      </x:c>
      <x:c r="D73" s="9" t="inlineStr">
        <x:is>
          <x:t xml:space="preserve">Lucas Soto Mardones</x:t>
        </x:is>
      </x:c>
      <x:c r="E73" s="16" t="n">
        <x:v>46041</x:v>
      </x:c>
      <x:c r="F73" s="9" t="n">
        <x:v>5</x:v>
      </x:c>
      <x:c r="G73" s="10" t="inlineStr">
        <x:is>
          <x:t xml:space="preserve">La aislación y los termopaneles mejoraron mucho el confort interior en comparación con nuestra vivienda anterior.</x:t>
        </x:is>
      </x:c>
      <x:c r="H73" s="9" t="inlineStr">
        <x:is>
          <x:t xml:space="preserve">Sí</x:t>
        </x:is>
      </x:c>
    </x:row>
    <x:row r="74" ht="32" customHeight="1">
      <x:c r="A74" s="9" t="inlineStr">
        <x:is>
          <x:t xml:space="preserve">TES-0073</x:t>
        </x:is>
      </x:c>
      <x:c r="B74" s="9" t="inlineStr">
        <x:is>
          <x:t xml:space="preserve">PRO-0073</x:t>
        </x:is>
      </x:c>
      <x:c r="C74" s="9" t="inlineStr">
        <x:is>
          <x:t xml:space="preserve">EMP-025</x:t>
        </x:is>
      </x:c>
      <x:c r="D74" s="9" t="inlineStr">
        <x:is>
          <x:t xml:space="preserve">Macarena Sepúlveda Núñez</x:t>
        </x:is>
      </x:c>
      <x:c r="E74" s="16" t="n">
        <x:v>44232</x:v>
      </x:c>
      <x:c r="F74" s="9" t="n">
        <x:v>5</x:v>
      </x:c>
      <x:c r="G74" s="10" t="inlineStr">
        <x:is>
          <x:t xml:space="preserve">Valoramos la rapidez de instalación y la coordinación entre fábrica, transporte y montaje.</x:t>
        </x:is>
      </x:c>
      <x:c r="H74" s="9" t="inlineStr">
        <x:is>
          <x:t xml:space="preserve">Sí</x:t>
        </x:is>
      </x:c>
    </x:row>
    <x:row r="75" ht="32" customHeight="1">
      <x:c r="A75" s="9" t="inlineStr">
        <x:is>
          <x:t xml:space="preserve">TES-0074</x:t>
        </x:is>
      </x:c>
      <x:c r="B75" s="9" t="inlineStr">
        <x:is>
          <x:t xml:space="preserve">PRO-0074</x:t>
        </x:is>
      </x:c>
      <x:c r="C75" s="9" t="inlineStr">
        <x:is>
          <x:t xml:space="preserve">EMP-025</x:t>
        </x:is>
      </x:c>
      <x:c r="D75" s="9" t="inlineStr">
        <x:is>
          <x:t xml:space="preserve">Esteban Pérez Bravo</x:t>
        </x:is>
      </x:c>
      <x:c r="E75" s="16" t="n">
        <x:v>45805</x:v>
      </x:c>
      <x:c r="F75" s="9" t="n">
        <x:v>5</x:v>
      </x:c>
      <x:c r="G75" s="10" t="inlineStr">
        <x:is>
          <x:t xml:space="preserve">El proyecto se entregó con terminaciones limpias y las instalaciones funcionaron correctamente desde el inicio.</x:t>
        </x:is>
      </x:c>
      <x:c r="H75" s="9" t="inlineStr">
        <x:is>
          <x:t xml:space="preserve">Sí</x:t>
        </x:is>
      </x:c>
    </x:row>
    <x:row r="76" ht="32" customHeight="1">
      <x:c r="A76" s="9" t="inlineStr">
        <x:is>
          <x:t xml:space="preserve">TES-0075</x:t>
        </x:is>
      </x:c>
      <x:c r="B76" s="9" t="inlineStr">
        <x:is>
          <x:t xml:space="preserve">PRO-0075</x:t>
        </x:is>
      </x:c>
      <x:c r="C76" s="9" t="inlineStr">
        <x:is>
          <x:t xml:space="preserve">EMP-025</x:t>
        </x:is>
      </x:c>
      <x:c r="D76" s="9" t="inlineStr">
        <x:is>
          <x:t xml:space="preserve">Catalina Jara Jara</x:t>
        </x:is>
      </x:c>
      <x:c r="E76" s="16" t="n">
        <x:v>45829</x:v>
      </x:c>
      <x:c r="F76" s="9" t="n">
        <x:v>5</x:v>
      </x:c>
      <x:c r="G76" s="10" t="inlineStr">
        <x:is>
          <x:t xml:space="preserve">La obra llegó panelizada y el montaje fue muy ordenado. Buen desempeño térmico durante invierno.</x:t>
        </x:is>
      </x:c>
      <x:c r="H76" s="9" t="inlineStr">
        <x:is>
          <x:t xml:space="preserve">Sí</x:t>
        </x:is>
      </x:c>
    </x:row>
    <x:row r="77" ht="32" customHeight="1">
      <x:c r="A77" s="9" t="inlineStr">
        <x:is>
          <x:t xml:space="preserve">TES-0076</x:t>
        </x:is>
      </x:c>
      <x:c r="B77" s="9" t="inlineStr">
        <x:is>
          <x:t xml:space="preserve">PRO-0076</x:t>
        </x:is>
      </x:c>
      <x:c r="C77" s="9" t="inlineStr">
        <x:is>
          <x:t xml:space="preserve">EMP-026</x:t>
        </x:is>
      </x:c>
      <x:c r="D77" s="9" t="inlineStr">
        <x:is>
          <x:t xml:space="preserve">Esteban Fuentes Bravo</x:t>
        </x:is>
      </x:c>
      <x:c r="E77" s="16" t="n">
        <x:v>45512</x:v>
      </x:c>
      <x:c r="F77" s="9" t="n">
        <x:v>4</x:v>
      </x:c>
      <x:c r="G77" s="10" t="inlineStr">
        <x:is>
          <x:t xml:space="preserve">La aislación y los termopaneles mejoraron mucho el confort interior en comparación con nuestra vivienda anterior.</x:t>
        </x:is>
      </x:c>
      <x:c r="H77" s="9" t="inlineStr">
        <x:is>
          <x:t xml:space="preserve">Sí</x:t>
        </x:is>
      </x:c>
    </x:row>
    <x:row r="78" ht="32" customHeight="1">
      <x:c r="A78" s="9" t="inlineStr">
        <x:is>
          <x:t xml:space="preserve">TES-0077</x:t>
        </x:is>
      </x:c>
      <x:c r="B78" s="9" t="inlineStr">
        <x:is>
          <x:t xml:space="preserve">PRO-0077</x:t>
        </x:is>
      </x:c>
      <x:c r="C78" s="9" t="inlineStr">
        <x:is>
          <x:t xml:space="preserve">EMP-026</x:t>
        </x:is>
      </x:c>
      <x:c r="D78" s="9" t="inlineStr">
        <x:is>
          <x:t xml:space="preserve">Daniela Rojas Morales</x:t>
        </x:is>
      </x:c>
      <x:c r="E78" s="16" t="n">
        <x:v>45007</x:v>
      </x:c>
      <x:c r="F78" s="9" t="n">
        <x:v>4</x:v>
      </x:c>
      <x:c r="G78" s="10" t="inlineStr">
        <x:is>
          <x:t xml:space="preserve">El modelo se adaptó bien a la parcela y la postventa respondió en tiempo razonable.</x:t>
        </x:is>
      </x:c>
      <x:c r="H78" s="9" t="inlineStr">
        <x:is>
          <x:t xml:space="preserve">Sí</x:t>
        </x:is>
      </x:c>
    </x:row>
    <x:row r="79" ht="32" customHeight="1">
      <x:c r="A79" s="9" t="inlineStr">
        <x:is>
          <x:t xml:space="preserve">TES-0078</x:t>
        </x:is>
      </x:c>
      <x:c r="B79" s="9" t="inlineStr">
        <x:is>
          <x:t xml:space="preserve">PRO-0078</x:t>
        </x:is>
      </x:c>
      <x:c r="C79" s="9" t="inlineStr">
        <x:is>
          <x:t xml:space="preserve">EMP-026</x:t>
        </x:is>
      </x:c>
      <x:c r="D79" s="9" t="inlineStr">
        <x:is>
          <x:t xml:space="preserve">Álvaro Vargas Escobar</x:t>
        </x:is>
      </x:c>
      <x:c r="E79" s="16" t="n">
        <x:v>44837</x:v>
      </x:c>
      <x:c r="F79" s="9" t="n">
        <x:v>4</x:v>
      </x:c>
      <x:c r="G79" s="10" t="inlineStr">
        <x:is>
          <x:t xml:space="preserve">Valoramos la rapidez de instalación y la coordinación entre fábrica, transporte y montaje.</x:t>
        </x:is>
      </x:c>
      <x:c r="H79" s="9" t="inlineStr">
        <x:is>
          <x:t xml:space="preserve">Sí</x:t>
        </x:is>
      </x:c>
    </x:row>
    <x:row r="80" ht="32" customHeight="1">
      <x:c r="A80" s="9" t="inlineStr">
        <x:is>
          <x:t xml:space="preserve">TES-0079</x:t>
        </x:is>
      </x:c>
      <x:c r="B80" s="9" t="inlineStr">
        <x:is>
          <x:t xml:space="preserve">PRO-0079</x:t>
        </x:is>
      </x:c>
      <x:c r="C80" s="9" t="inlineStr">
        <x:is>
          <x:t xml:space="preserve">EMP-027</x:t>
        </x:is>
      </x:c>
      <x:c r="D80" s="9" t="inlineStr">
        <x:is>
          <x:t xml:space="preserve">Amanda Leiva Castillo</x:t>
        </x:is>
      </x:c>
      <x:c r="E80" s="16" t="n">
        <x:v>44889</x:v>
      </x:c>
      <x:c r="F80" s="9" t="n">
        <x:v>5</x:v>
      </x:c>
      <x:c r="G80" s="10" t="inlineStr">
        <x:is>
          <x:t xml:space="preserve">La aislación y los termopaneles mejoraron mucho el confort interior en comparación con nuestra vivienda anterior.</x:t>
        </x:is>
      </x:c>
      <x:c r="H80" s="9" t="inlineStr">
        <x:is>
          <x:t xml:space="preserve">Sí</x:t>
        </x:is>
      </x:c>
    </x:row>
    <x:row r="81" ht="32" customHeight="1">
      <x:c r="A81" s="9" t="inlineStr">
        <x:is>
          <x:t xml:space="preserve">TES-0080</x:t>
        </x:is>
      </x:c>
      <x:c r="B81" s="9" t="inlineStr">
        <x:is>
          <x:t xml:space="preserve">PRO-0080</x:t>
        </x:is>
      </x:c>
      <x:c r="C81" s="9" t="inlineStr">
        <x:is>
          <x:t xml:space="preserve">EMP-027</x:t>
        </x:is>
      </x:c>
      <x:c r="D81" s="9" t="inlineStr">
        <x:is>
          <x:t xml:space="preserve">Martín Venegas Alarcón</x:t>
        </x:is>
      </x:c>
      <x:c r="E81" s="16" t="n">
        <x:v>45155</x:v>
      </x:c>
      <x:c r="F81" s="9" t="n">
        <x:v>5</x:v>
      </x:c>
      <x:c r="G81" s="10" t="inlineStr">
        <x:is>
          <x:t xml:space="preserve">El modelo se adaptó bien a la parcela y la postventa respondió en tiempo razonable.</x:t>
        </x:is>
      </x:c>
      <x:c r="H81" s="9" t="inlineStr">
        <x:is>
          <x:t xml:space="preserve">Sí</x:t>
        </x:is>
      </x:c>
    </x:row>
    <x:row r="82" ht="32" customHeight="1">
      <x:c r="A82" s="9" t="inlineStr">
        <x:is>
          <x:t xml:space="preserve">TES-0081</x:t>
        </x:is>
      </x:c>
      <x:c r="B82" s="9" t="inlineStr">
        <x:is>
          <x:t xml:space="preserve">PRO-0081</x:t>
        </x:is>
      </x:c>
      <x:c r="C82" s="9" t="inlineStr">
        <x:is>
          <x:t xml:space="preserve">EMP-027</x:t>
        </x:is>
      </x:c>
      <x:c r="D82" s="9" t="inlineStr">
        <x:is>
          <x:t xml:space="preserve">Camila Mella Campos</x:t>
        </x:is>
      </x:c>
      <x:c r="E82" s="16" t="n">
        <x:v>45684</x:v>
      </x:c>
      <x:c r="F82" s="9" t="n">
        <x:v>4</x:v>
      </x:c>
      <x:c r="G82" s="10" t="inlineStr">
        <x:is>
          <x:t xml:space="preserve">Valoramos la rapidez de instalación y la coordinación entre fábrica, transporte y montaje.</x:t>
        </x:is>
      </x:c>
      <x:c r="H82" s="9" t="inlineStr">
        <x:is>
          <x:t xml:space="preserve">Sí</x:t>
        </x:is>
      </x:c>
    </x:row>
    <x:row r="83" ht="32" customHeight="1">
      <x:c r="A83" s="9" t="inlineStr">
        <x:is>
          <x:t xml:space="preserve">TES-0082</x:t>
        </x:is>
      </x:c>
      <x:c r="B83" s="9" t="inlineStr">
        <x:is>
          <x:t xml:space="preserve">PRO-0082</x:t>
        </x:is>
      </x:c>
      <x:c r="C83" s="9" t="inlineStr">
        <x:is>
          <x:t xml:space="preserve">EMP-028</x:t>
        </x:is>
      </x:c>
      <x:c r="D83" s="9" t="inlineStr">
        <x:is>
          <x:t xml:space="preserve">Martina Araya Acuña</x:t>
        </x:is>
      </x:c>
      <x:c r="E83" s="16" t="n">
        <x:v>44588</x:v>
      </x:c>
      <x:c r="F83" s="9" t="n">
        <x:v>5</x:v>
      </x:c>
      <x:c r="G83" s="10" t="inlineStr">
        <x:is>
          <x:t xml:space="preserve">El modelo se adaptó bien a la parcela y la postventa respondió en tiempo razonable.</x:t>
        </x:is>
      </x:c>
      <x:c r="H83" s="9" t="inlineStr">
        <x:is>
          <x:t xml:space="preserve">Sí</x:t>
        </x:is>
      </x:c>
    </x:row>
    <x:row r="84" ht="32" customHeight="1">
      <x:c r="A84" s="9" t="inlineStr">
        <x:is>
          <x:t xml:space="preserve">TES-0083</x:t>
        </x:is>
      </x:c>
      <x:c r="B84" s="9" t="inlineStr">
        <x:is>
          <x:t xml:space="preserve">PRO-0083</x:t>
        </x:is>
      </x:c>
      <x:c r="C84" s="9" t="inlineStr">
        <x:is>
          <x:t xml:space="preserve">EMP-028</x:t>
        </x:is>
      </x:c>
      <x:c r="D84" s="9" t="inlineStr">
        <x:is>
          <x:t xml:space="preserve">Isidora Ramírez Becerra</x:t>
        </x:is>
      </x:c>
      <x:c r="E84" s="16" t="n">
        <x:v>44341</x:v>
      </x:c>
      <x:c r="F84" s="9" t="n">
        <x:v>5</x:v>
      </x:c>
      <x:c r="G84" s="10" t="inlineStr">
        <x:is>
          <x:t xml:space="preserve">Valoramos la rapidez de instalación y la coordinación entre fábrica, transporte y montaje.</x:t>
        </x:is>
      </x:c>
      <x:c r="H84" s="9" t="inlineStr">
        <x:is>
          <x:t xml:space="preserve">Sí</x:t>
        </x:is>
      </x:c>
    </x:row>
    <x:row r="85" ht="32" customHeight="1">
      <x:c r="A85" s="9" t="inlineStr">
        <x:is>
          <x:t xml:space="preserve">TES-0084</x:t>
        </x:is>
      </x:c>
      <x:c r="B85" s="9" t="inlineStr">
        <x:is>
          <x:t xml:space="preserve">PRO-0084</x:t>
        </x:is>
      </x:c>
      <x:c r="C85" s="9" t="inlineStr">
        <x:is>
          <x:t xml:space="preserve">EMP-028</x:t>
        </x:is>
      </x:c>
      <x:c r="D85" s="9" t="inlineStr">
        <x:is>
          <x:t xml:space="preserve">Ignacia Pérez Herrera</x:t>
        </x:is>
      </x:c>
      <x:c r="E85" s="16" t="n">
        <x:v>45344</x:v>
      </x:c>
      <x:c r="F85" s="9" t="n">
        <x:v>5</x:v>
      </x:c>
      <x:c r="G85" s="10" t="inlineStr">
        <x:is>
          <x:t xml:space="preserve">Quedamos conformes con la solución modular; redujo tiempos de obra y residuos en terreno.</x:t>
        </x:is>
      </x:c>
      <x:c r="H85" s="9" t="inlineStr">
        <x:is>
          <x:t xml:space="preserve">Sí</x:t>
        </x:is>
      </x:c>
    </x:row>
    <x:row r="86" ht="32" customHeight="1">
      <x:c r="A86" s="9" t="inlineStr">
        <x:is>
          <x:t xml:space="preserve">TES-0085</x:t>
        </x:is>
      </x:c>
      <x:c r="B86" s="9" t="inlineStr">
        <x:is>
          <x:t xml:space="preserve">PRO-0085</x:t>
        </x:is>
      </x:c>
      <x:c r="C86" s="9" t="inlineStr">
        <x:is>
          <x:t xml:space="preserve">EMP-029</x:t>
        </x:is>
      </x:c>
      <x:c r="D86" s="9" t="inlineStr">
        <x:is>
          <x:t xml:space="preserve">Benjamín Torres Vargas</x:t>
        </x:is>
      </x:c>
      <x:c r="E86" s="16" t="n">
        <x:v>45368</x:v>
      </x:c>
      <x:c r="F86" s="9" t="n">
        <x:v>5</x:v>
      </x:c>
      <x:c r="G86" s="10" t="inlineStr">
        <x:is>
          <x:t xml:space="preserve">El proyecto se entregó con terminaciones limpias y las instalaciones funcionaron correctamente desde el inicio.</x:t>
        </x:is>
      </x:c>
      <x:c r="H86" s="9" t="inlineStr">
        <x:is>
          <x:t xml:space="preserve">Sí</x:t>
        </x:is>
      </x:c>
    </x:row>
    <x:row r="87" ht="32" customHeight="1">
      <x:c r="A87" s="9" t="inlineStr">
        <x:is>
          <x:t xml:space="preserve">TES-0086</x:t>
        </x:is>
      </x:c>
      <x:c r="B87" s="9" t="inlineStr">
        <x:is>
          <x:t xml:space="preserve">PRO-0086</x:t>
        </x:is>
      </x:c>
      <x:c r="C87" s="9" t="inlineStr">
        <x:is>
          <x:t xml:space="preserve">EMP-029</x:t>
        </x:is>
      </x:c>
      <x:c r="D87" s="9" t="inlineStr">
        <x:is>
          <x:t xml:space="preserve">Gabriel González Soto</x:t>
        </x:is>
      </x:c>
      <x:c r="E87" s="16" t="n">
        <x:v>45332</x:v>
      </x:c>
      <x:c r="F87" s="9" t="n">
        <x:v>5</x:v>
      </x:c>
      <x:c r="G87" s="10" t="inlineStr">
        <x:is>
          <x:t xml:space="preserve">La aislación y los termopaneles mejoraron mucho el confort interior en comparación con nuestra vivienda anterior.</x:t>
        </x:is>
      </x:c>
      <x:c r="H87" s="9" t="inlineStr">
        <x:is>
          <x:t xml:space="preserve">Sí</x:t>
        </x:is>
      </x:c>
    </x:row>
    <x:row r="88" ht="32" customHeight="1">
      <x:c r="A88" s="9" t="inlineStr">
        <x:is>
          <x:t xml:space="preserve">TES-0087</x:t>
        </x:is>
      </x:c>
      <x:c r="B88" s="9" t="inlineStr">
        <x:is>
          <x:t xml:space="preserve">PRO-0087</x:t>
        </x:is>
      </x:c>
      <x:c r="C88" s="9" t="inlineStr">
        <x:is>
          <x:t xml:space="preserve">EMP-029</x:t>
        </x:is>
      </x:c>
      <x:c r="D88" s="9" t="inlineStr">
        <x:is>
          <x:t xml:space="preserve">Dominga Lagos Morales</x:t>
        </x:is>
      </x:c>
      <x:c r="E88" s="16" t="n">
        <x:v>44290</x:v>
      </x:c>
      <x:c r="F88" s="9" t="n">
        <x:v>4</x:v>
      </x:c>
      <x:c r="G88" s="10" t="inlineStr">
        <x:is>
          <x:t xml:space="preserve">Quedamos conformes con la solución modular; redujo tiempos de obra y residuos en terreno.</x:t>
        </x:is>
      </x:c>
      <x:c r="H88" s="9" t="inlineStr">
        <x:is>
          <x:t xml:space="preserve">Sí</x:t>
        </x:is>
      </x:c>
    </x:row>
    <x:row r="89" ht="32" customHeight="1">
      <x:c r="A89" s="9" t="inlineStr">
        <x:is>
          <x:t xml:space="preserve">TES-0088</x:t>
        </x:is>
      </x:c>
      <x:c r="B89" s="9" t="inlineStr">
        <x:is>
          <x:t xml:space="preserve">PRO-0088</x:t>
        </x:is>
      </x:c>
      <x:c r="C89" s="9" t="inlineStr">
        <x:is>
          <x:t xml:space="preserve">EMP-030</x:t>
        </x:is>
      </x:c>
      <x:c r="D89" s="9" t="inlineStr">
        <x:is>
          <x:t xml:space="preserve">Martín Mella Sandoval</x:t>
        </x:is>
      </x:c>
      <x:c r="E89" s="16" t="n">
        <x:v>44459</x:v>
      </x:c>
      <x:c r="F89" s="9" t="n">
        <x:v>5</x:v>
      </x:c>
      <x:c r="G89" s="10" t="inlineStr">
        <x:is>
          <x:t xml:space="preserve">Valoramos la rapidez de instalación y la coordinación entre fábrica, transporte y montaje.</x:t>
        </x:is>
      </x:c>
      <x:c r="H89" s="9" t="inlineStr">
        <x:is>
          <x:t xml:space="preserve">Sí</x:t>
        </x:is>
      </x:c>
    </x:row>
    <x:row r="90" ht="32" customHeight="1">
      <x:c r="A90" s="9" t="inlineStr">
        <x:is>
          <x:t xml:space="preserve">TES-0089</x:t>
        </x:is>
      </x:c>
      <x:c r="B90" s="9" t="inlineStr">
        <x:is>
          <x:t xml:space="preserve">PRO-0089</x:t>
        </x:is>
      </x:c>
      <x:c r="C90" s="9" t="inlineStr">
        <x:is>
          <x:t xml:space="preserve">EMP-030</x:t>
        </x:is>
      </x:c>
      <x:c r="D90" s="9" t="inlineStr">
        <x:is>
          <x:t xml:space="preserve">Claudia Núñez Bahamondes</x:t>
        </x:is>
      </x:c>
      <x:c r="E90" s="16" t="n">
        <x:v>44593</x:v>
      </x:c>
      <x:c r="F90" s="9" t="n">
        <x:v>4</x:v>
      </x:c>
      <x:c r="G90" s="10" t="inlineStr">
        <x:is>
          <x:t xml:space="preserve">La obra llegó panelizada y el montaje fue muy ordenado. Buen desempeño térmico durante invierno.</x:t>
        </x:is>
      </x:c>
      <x:c r="H90" s="9" t="inlineStr">
        <x:is>
          <x:t xml:space="preserve">Sí</x:t>
        </x:is>
      </x:c>
    </x:row>
    <x:row r="91" ht="32" customHeight="1">
      <x:c r="A91" s="9" t="inlineStr">
        <x:is>
          <x:t xml:space="preserve">TES-0090</x:t>
        </x:is>
      </x:c>
      <x:c r="B91" s="9" t="inlineStr">
        <x:is>
          <x:t xml:space="preserve">PRO-0090</x:t>
        </x:is>
      </x:c>
      <x:c r="C91" s="9" t="inlineStr">
        <x:is>
          <x:t xml:space="preserve">EMP-030</x:t>
        </x:is>
      </x:c>
      <x:c r="D91" s="9" t="inlineStr">
        <x:is>
          <x:t xml:space="preserve">Ignacia Navarro Carrasco</x:t>
        </x:is>
      </x:c>
      <x:c r="E91" s="16" t="n">
        <x:v>45531</x:v>
      </x:c>
      <x:c r="F91" s="9" t="n">
        <x:v>5</x:v>
      </x:c>
      <x:c r="G91" s="10" t="inlineStr">
        <x:is>
          <x:t xml:space="preserve">La aislación y los termopaneles mejoraron mucho el confort interior en comparación con nuestra vivienda anterior.</x:t>
        </x:is>
      </x:c>
      <x:c r="H91" s="9" t="inlineStr">
        <x:is>
          <x:t xml:space="preserve">Sí</x:t>
        </x:is>
      </x:c>
    </x:row>
    <x:row r="92" ht="32" customHeight="1">
      <x:c r="A92" s="9" t="inlineStr">
        <x:is>
          <x:t xml:space="preserve">TES-0091</x:t>
        </x:is>
      </x:c>
      <x:c r="B92" s="9" t="inlineStr">
        <x:is>
          <x:t xml:space="preserve">PRO-0091</x:t>
        </x:is>
      </x:c>
      <x:c r="C92" s="9" t="inlineStr">
        <x:is>
          <x:t xml:space="preserve">EMP-031</x:t>
        </x:is>
      </x:c>
      <x:c r="D92" s="9" t="inlineStr">
        <x:is>
          <x:t xml:space="preserve">Carolina Morales Mella</x:t>
        </x:is>
      </x:c>
      <x:c r="E92" s="16" t="n">
        <x:v>45270</x:v>
      </x:c>
      <x:c r="F92" s="9" t="n">
        <x:v>5</x:v>
      </x:c>
      <x:c r="G92" s="10" t="inlineStr">
        <x:is>
          <x:t xml:space="preserve">Valoramos la rapidez de instalación y la coordinación entre fábrica, transporte y montaje.</x:t>
        </x:is>
      </x:c>
      <x:c r="H92" s="9" t="inlineStr">
        <x:is>
          <x:t xml:space="preserve">Sí</x:t>
        </x:is>
      </x:c>
    </x:row>
    <x:row r="93" ht="32" customHeight="1">
      <x:c r="A93" s="9" t="inlineStr">
        <x:is>
          <x:t xml:space="preserve">TES-0092</x:t>
        </x:is>
      </x:c>
      <x:c r="B93" s="9" t="inlineStr">
        <x:is>
          <x:t xml:space="preserve">PRO-0092</x:t>
        </x:is>
      </x:c>
      <x:c r="C93" s="9" t="inlineStr">
        <x:is>
          <x:t xml:space="preserve">EMP-031</x:t>
        </x:is>
      </x:c>
      <x:c r="D93" s="9" t="inlineStr">
        <x:is>
          <x:t xml:space="preserve">Ignacia Valdés Jara</x:t>
        </x:is>
      </x:c>
      <x:c r="E93" s="16" t="n">
        <x:v>46108</x:v>
      </x:c>
      <x:c r="F93" s="9" t="n">
        <x:v>5</x:v>
      </x:c>
      <x:c r="G93" s="10" t="inlineStr">
        <x:is>
          <x:t xml:space="preserve">Valoramos la rapidez de instalación y la coordinación entre fábrica, transporte y montaje.</x:t>
        </x:is>
      </x:c>
      <x:c r="H93" s="9" t="inlineStr">
        <x:is>
          <x:t xml:space="preserve">Sí</x:t>
        </x:is>
      </x:c>
    </x:row>
    <x:row r="94" ht="32" customHeight="1">
      <x:c r="A94" s="9" t="inlineStr">
        <x:is>
          <x:t xml:space="preserve">TES-0093</x:t>
        </x:is>
      </x:c>
      <x:c r="B94" s="9" t="inlineStr">
        <x:is>
          <x:t xml:space="preserve">PRO-0093</x:t>
        </x:is>
      </x:c>
      <x:c r="C94" s="9" t="inlineStr">
        <x:is>
          <x:t xml:space="preserve">EMP-031</x:t>
        </x:is>
      </x:c>
      <x:c r="D94" s="9" t="inlineStr">
        <x:is>
          <x:t xml:space="preserve">Esteban Contreras Sandoval</x:t>
        </x:is>
      </x:c>
      <x:c r="E94" s="16" t="n">
        <x:v>45770</x:v>
      </x:c>
      <x:c r="F94" s="9" t="n">
        <x:v>4</x:v>
      </x:c>
      <x:c r="G94" s="10" t="inlineStr">
        <x:is>
          <x:t xml:space="preserve">La obra llegó panelizada y el montaje fue muy ordenado. Buen desempeño térmico durante invierno.</x:t>
        </x:is>
      </x:c>
      <x:c r="H94" s="9" t="inlineStr">
        <x:is>
          <x:t xml:space="preserve">Sí</x:t>
        </x:is>
      </x:c>
    </x:row>
    <x:row r="95" ht="32" customHeight="1">
      <x:c r="A95" s="9" t="inlineStr">
        <x:is>
          <x:t xml:space="preserve">TES-0094</x:t>
        </x:is>
      </x:c>
      <x:c r="B95" s="9" t="inlineStr">
        <x:is>
          <x:t xml:space="preserve">PRO-0094</x:t>
        </x:is>
      </x:c>
      <x:c r="C95" s="9" t="inlineStr">
        <x:is>
          <x:t xml:space="preserve">EMP-032</x:t>
        </x:is>
      </x:c>
      <x:c r="D95" s="9" t="inlineStr">
        <x:is>
          <x:t xml:space="preserve">Sebastián Morales Pino</x:t>
        </x:is>
      </x:c>
      <x:c r="E95" s="16" t="n">
        <x:v>45214</x:v>
      </x:c>
      <x:c r="F95" s="9" t="n">
        <x:v>5</x:v>
      </x:c>
      <x:c r="G95" s="10" t="inlineStr">
        <x:is>
          <x:t xml:space="preserve">La aislación y los termopaneles mejoraron mucho el confort interior en comparación con nuestra vivienda anterior.</x:t>
        </x:is>
      </x:c>
      <x:c r="H95" s="9" t="inlineStr">
        <x:is>
          <x:t xml:space="preserve">Sí</x:t>
        </x:is>
      </x:c>
    </x:row>
    <x:row r="96" ht="32" customHeight="1">
      <x:c r="A96" s="9" t="inlineStr">
        <x:is>
          <x:t xml:space="preserve">TES-0095</x:t>
        </x:is>
      </x:c>
      <x:c r="B96" s="9" t="inlineStr">
        <x:is>
          <x:t xml:space="preserve">PRO-0095</x:t>
        </x:is>
      </x:c>
      <x:c r="C96" s="9" t="inlineStr">
        <x:is>
          <x:t xml:space="preserve">EMP-032</x:t>
        </x:is>
      </x:c>
      <x:c r="D96" s="9" t="inlineStr">
        <x:is>
          <x:t xml:space="preserve">Martín González Venegas</x:t>
        </x:is>
      </x:c>
      <x:c r="E96" s="16" t="n">
        <x:v>44943</x:v>
      </x:c>
      <x:c r="F96" s="9" t="n">
        <x:v>4</x:v>
      </x:c>
      <x:c r="G96" s="10" t="inlineStr">
        <x:is>
          <x:t xml:space="preserve">Quedamos conformes con la solución modular; redujo tiempos de obra y residuos en terreno.</x:t>
        </x:is>
      </x:c>
      <x:c r="H96" s="9" t="inlineStr">
        <x:is>
          <x:t xml:space="preserve">Sí</x:t>
        </x:is>
      </x:c>
    </x:row>
    <x:row r="97" ht="32" customHeight="1">
      <x:c r="A97" s="9" t="inlineStr">
        <x:is>
          <x:t xml:space="preserve">TES-0096</x:t>
        </x:is>
      </x:c>
      <x:c r="B97" s="9" t="inlineStr">
        <x:is>
          <x:t xml:space="preserve">PRO-0096</x:t>
        </x:is>
      </x:c>
      <x:c r="C97" s="9" t="inlineStr">
        <x:is>
          <x:t xml:space="preserve">EMP-032</x:t>
        </x:is>
      </x:c>
      <x:c r="D97" s="9" t="inlineStr">
        <x:is>
          <x:t xml:space="preserve">Emilia Torres Vera</x:t>
        </x:is>
      </x:c>
      <x:c r="E97" s="16" t="n">
        <x:v>44543</x:v>
      </x:c>
      <x:c r="F97" s="9" t="n">
        <x:v>4</x:v>
      </x:c>
      <x:c r="G97" s="10" t="inlineStr">
        <x:is>
          <x:t xml:space="preserve">Quedamos conformes con la solución modular; redujo tiempos de obra y residuos en terreno.</x:t>
        </x:is>
      </x:c>
      <x:c r="H97" s="9" t="inlineStr">
        <x:is>
          <x:t xml:space="preserve">Sí</x:t>
        </x:is>
      </x:c>
    </x:row>
    <x:row r="98" ht="32" customHeight="1">
      <x:c r="A98" s="9" t="inlineStr">
        <x:is>
          <x:t xml:space="preserve">TES-0097</x:t>
        </x:is>
      </x:c>
      <x:c r="B98" s="9" t="inlineStr">
        <x:is>
          <x:t xml:space="preserve">PRO-0097</x:t>
        </x:is>
      </x:c>
      <x:c r="C98" s="9" t="inlineStr">
        <x:is>
          <x:t xml:space="preserve">EMP-033</x:t>
        </x:is>
      </x:c>
      <x:c r="D98" s="9" t="inlineStr">
        <x:is>
          <x:t xml:space="preserve">Josefa Venegas Silva</x:t>
        </x:is>
      </x:c>
      <x:c r="E98" s="16" t="n">
        <x:v>44748</x:v>
      </x:c>
      <x:c r="F98" s="9" t="n">
        <x:v>4</x:v>
      </x:c>
      <x:c r="G98" s="10" t="inlineStr">
        <x:is>
          <x:t xml:space="preserve">La obra llegó panelizada y el montaje fue muy ordenado. Buen desempeño térmico durante invierno.</x:t>
        </x:is>
      </x:c>
      <x:c r="H98" s="9" t="inlineStr">
        <x:is>
          <x:t xml:space="preserve">Sí</x:t>
        </x:is>
      </x:c>
    </x:row>
    <x:row r="99" ht="32" customHeight="1">
      <x:c r="A99" s="9" t="inlineStr">
        <x:is>
          <x:t xml:space="preserve">TES-0098</x:t>
        </x:is>
      </x:c>
      <x:c r="B99" s="9" t="inlineStr">
        <x:is>
          <x:t xml:space="preserve">PRO-0098</x:t>
        </x:is>
      </x:c>
      <x:c r="C99" s="9" t="inlineStr">
        <x:is>
          <x:t xml:space="preserve">EMP-033</x:t>
        </x:is>
      </x:c>
      <x:c r="D99" s="9" t="inlineStr">
        <x:is>
          <x:t xml:space="preserve">Macarena Alarcón Alarcón</x:t>
        </x:is>
      </x:c>
      <x:c r="E99" s="16" t="n">
        <x:v>44636</x:v>
      </x:c>
      <x:c r="F99" s="9" t="n">
        <x:v>5</x:v>
      </x:c>
      <x:c r="G99" s="10" t="inlineStr">
        <x:is>
          <x:t xml:space="preserve">Valoramos la rapidez de instalación y la coordinación entre fábrica, transporte y montaje.</x:t>
        </x:is>
      </x:c>
      <x:c r="H99" s="9" t="inlineStr">
        <x:is>
          <x:t xml:space="preserve">Sí</x:t>
        </x:is>
      </x:c>
    </x:row>
    <x:row r="100" ht="32" customHeight="1">
      <x:c r="A100" s="9" t="inlineStr">
        <x:is>
          <x:t xml:space="preserve">TES-0099</x:t>
        </x:is>
      </x:c>
      <x:c r="B100" s="9" t="inlineStr">
        <x:is>
          <x:t xml:space="preserve">PRO-0099</x:t>
        </x:is>
      </x:c>
      <x:c r="C100" s="9" t="inlineStr">
        <x:is>
          <x:t xml:space="preserve">EMP-033</x:t>
        </x:is>
      </x:c>
      <x:c r="D100" s="9" t="inlineStr">
        <x:is>
          <x:t xml:space="preserve">Matías Tapia Contreras</x:t>
        </x:is>
      </x:c>
      <x:c r="E100" s="16" t="n">
        <x:v>44715</x:v>
      </x:c>
      <x:c r="F100" s="9" t="n">
        <x:v>5</x:v>
      </x:c>
      <x:c r="G100" s="10" t="inlineStr">
        <x:is>
          <x:t xml:space="preserve">Valoramos la rapidez de instalación y la coordinación entre fábrica, transporte y montaje.</x:t>
        </x:is>
      </x:c>
      <x:c r="H100" s="9" t="inlineStr">
        <x:is>
          <x:t xml:space="preserve">Sí</x:t>
        </x:is>
      </x:c>
    </x:row>
    <x:row r="101" ht="32" customHeight="1">
      <x:c r="A101" s="9" t="inlineStr">
        <x:is>
          <x:t xml:space="preserve">TES-0100</x:t>
        </x:is>
      </x:c>
      <x:c r="B101" s="9" t="inlineStr">
        <x:is>
          <x:t xml:space="preserve">PRO-0100</x:t>
        </x:is>
      </x:c>
      <x:c r="C101" s="9" t="inlineStr">
        <x:is>
          <x:t xml:space="preserve">EMP-034</x:t>
        </x:is>
      </x:c>
      <x:c r="D101" s="9" t="inlineStr">
        <x:is>
          <x:t xml:space="preserve">Maximiliano Silva Bahamondes</x:t>
        </x:is>
      </x:c>
      <x:c r="E101" s="16" t="n">
        <x:v>44891</x:v>
      </x:c>
      <x:c r="F101" s="9" t="n">
        <x:v>4</x:v>
      </x:c>
      <x:c r="G101" s="10" t="inlineStr">
        <x:is>
          <x:t xml:space="preserve">La aislación y los termopaneles mejoraron mucho el confort interior en comparación con nuestra vivienda anterior.</x:t>
        </x:is>
      </x:c>
      <x:c r="H101" s="9" t="inlineStr">
        <x:is>
          <x:t xml:space="preserve">Sí</x:t>
        </x:is>
      </x:c>
    </x:row>
    <x:row r="102" ht="32" customHeight="1">
      <x:c r="A102" s="9" t="inlineStr">
        <x:is>
          <x:t xml:space="preserve">TES-0101</x:t>
        </x:is>
      </x:c>
      <x:c r="B102" s="9" t="inlineStr">
        <x:is>
          <x:t xml:space="preserve">PRO-0101</x:t>
        </x:is>
      </x:c>
      <x:c r="C102" s="9" t="inlineStr">
        <x:is>
          <x:t xml:space="preserve">EMP-034</x:t>
        </x:is>
      </x:c>
      <x:c r="D102" s="9" t="inlineStr">
        <x:is>
          <x:t xml:space="preserve">Javier Herrera Carrasco</x:t>
        </x:is>
      </x:c>
      <x:c r="E102" s="16" t="n">
        <x:v>45681</x:v>
      </x:c>
      <x:c r="F102" s="9" t="n">
        <x:v>4</x:v>
      </x:c>
      <x:c r="G102" s="10" t="inlineStr">
        <x:is>
          <x:t xml:space="preserve">Quedamos conformes con la solución modular; redujo tiempos de obra y residuos en terreno.</x:t>
        </x:is>
      </x:c>
      <x:c r="H102" s="9" t="inlineStr">
        <x:is>
          <x:t xml:space="preserve">Sí</x:t>
        </x:is>
      </x:c>
    </x:row>
    <x:row r="103" ht="32" customHeight="1">
      <x:c r="A103" s="9" t="inlineStr">
        <x:is>
          <x:t xml:space="preserve">TES-0102</x:t>
        </x:is>
      </x:c>
      <x:c r="B103" s="9" t="inlineStr">
        <x:is>
          <x:t xml:space="preserve">PRO-0102</x:t>
        </x:is>
      </x:c>
      <x:c r="C103" s="9" t="inlineStr">
        <x:is>
          <x:t xml:space="preserve">EMP-034</x:t>
        </x:is>
      </x:c>
      <x:c r="D103" s="9" t="inlineStr">
        <x:is>
          <x:t xml:space="preserve">Valentina Bustos Cortés</x:t>
        </x:is>
      </x:c>
      <x:c r="E103" s="16" t="n">
        <x:v>45611</x:v>
      </x:c>
      <x:c r="F103" s="9" t="n">
        <x:v>4</x:v>
      </x:c>
      <x:c r="G103" s="10" t="inlineStr">
        <x:is>
          <x:t xml:space="preserve">El proyecto se entregó con terminaciones limpias y las instalaciones funcionaron correctamente desde el inicio.</x:t>
        </x:is>
      </x:c>
      <x:c r="H103" s="9" t="inlineStr">
        <x:is>
          <x:t xml:space="preserve">Sí</x:t>
        </x:is>
      </x:c>
    </x:row>
    <x:row r="104" ht="32" customHeight="1">
      <x:c r="A104" s="9" t="inlineStr">
        <x:is>
          <x:t xml:space="preserve">TES-0103</x:t>
        </x:is>
      </x:c>
      <x:c r="B104" s="9" t="inlineStr">
        <x:is>
          <x:t xml:space="preserve">PRO-0103</x:t>
        </x:is>
      </x:c>
      <x:c r="C104" s="9" t="inlineStr">
        <x:is>
          <x:t xml:space="preserve">EMP-035</x:t>
        </x:is>
      </x:c>
      <x:c r="D104" s="9" t="inlineStr">
        <x:is>
          <x:t xml:space="preserve">Lucas Escobar Tapia</x:t>
        </x:is>
      </x:c>
      <x:c r="E104" s="16" t="n">
        <x:v>45269</x:v>
      </x:c>
      <x:c r="F104" s="9" t="n">
        <x:v>5</x:v>
      </x:c>
      <x:c r="G104" s="10" t="inlineStr">
        <x:is>
          <x:t xml:space="preserve">El proyecto se entregó con terminaciones limpias y las instalaciones funcionaron correctamente desde el inicio.</x:t>
        </x:is>
      </x:c>
      <x:c r="H104" s="9" t="inlineStr">
        <x:is>
          <x:t xml:space="preserve">Sí</x:t>
        </x:is>
      </x:c>
    </x:row>
    <x:row r="105" ht="32" customHeight="1">
      <x:c r="A105" s="9" t="inlineStr">
        <x:is>
          <x:t xml:space="preserve">TES-0104</x:t>
        </x:is>
      </x:c>
      <x:c r="B105" s="9" t="inlineStr">
        <x:is>
          <x:t xml:space="preserve">PRO-0104</x:t>
        </x:is>
      </x:c>
      <x:c r="C105" s="9" t="inlineStr">
        <x:is>
          <x:t xml:space="preserve">EMP-035</x:t>
        </x:is>
      </x:c>
      <x:c r="D105" s="9" t="inlineStr">
        <x:is>
          <x:t xml:space="preserve">Paz Jara Contreras</x:t>
        </x:is>
      </x:c>
      <x:c r="E105" s="16" t="n">
        <x:v>44548</x:v>
      </x:c>
      <x:c r="F105" s="9" t="n">
        <x:v>5</x:v>
      </x:c>
      <x:c r="G105" s="10" t="inlineStr">
        <x:is>
          <x:t xml:space="preserve">El proyecto se entregó con terminaciones limpias y las instalaciones funcionaron correctamente desde el inicio.</x:t>
        </x:is>
      </x:c>
      <x:c r="H105" s="9" t="inlineStr">
        <x:is>
          <x:t xml:space="preserve">Sí</x:t>
        </x:is>
      </x:c>
    </x:row>
    <x:row r="106" ht="32" customHeight="1">
      <x:c r="A106" s="9" t="inlineStr">
        <x:is>
          <x:t xml:space="preserve">TES-0105</x:t>
        </x:is>
      </x:c>
      <x:c r="B106" s="9" t="inlineStr">
        <x:is>
          <x:t xml:space="preserve">PRO-0105</x:t>
        </x:is>
      </x:c>
      <x:c r="C106" s="9" t="inlineStr">
        <x:is>
          <x:t xml:space="preserve">EMP-035</x:t>
        </x:is>
      </x:c>
      <x:c r="D106" s="9" t="inlineStr">
        <x:is>
          <x:t xml:space="preserve">Ignacia Carrasco Acuña</x:t>
        </x:is>
      </x:c>
      <x:c r="E106" s="16" t="n">
        <x:v>45591</x:v>
      </x:c>
      <x:c r="F106" s="9" t="n">
        <x:v>5</x:v>
      </x:c>
      <x:c r="G106" s="10" t="inlineStr">
        <x:is>
          <x:t xml:space="preserve">El modelo se adaptó bien a la parcela y la postventa respondió en tiempo razonable.</x:t>
        </x:is>
      </x:c>
      <x:c r="H106" s="9" t="inlineStr">
        <x:is>
          <x:t xml:space="preserve">Sí</x:t>
        </x:is>
      </x:c>
    </x:row>
    <x:row r="107" ht="32" customHeight="1">
      <x:c r="A107" s="9" t="inlineStr">
        <x:is>
          <x:t xml:space="preserve">TES-0106</x:t>
        </x:is>
      </x:c>
      <x:c r="B107" s="9" t="inlineStr">
        <x:is>
          <x:t xml:space="preserve">PRO-0106</x:t>
        </x:is>
      </x:c>
      <x:c r="C107" s="9" t="inlineStr">
        <x:is>
          <x:t xml:space="preserve">EMP-036</x:t>
        </x:is>
      </x:c>
      <x:c r="D107" s="9" t="inlineStr">
        <x:is>
          <x:t xml:space="preserve">Rodrigo González Bahamondes</x:t>
        </x:is>
      </x:c>
      <x:c r="E107" s="16" t="n">
        <x:v>44360</x:v>
      </x:c>
      <x:c r="F107" s="9" t="n">
        <x:v>4</x:v>
      </x:c>
      <x:c r="G107" s="10" t="inlineStr">
        <x:is>
          <x:t xml:space="preserve">El proyecto se entregó con terminaciones limpias y las instalaciones funcionaron correctamente desde el inicio.</x:t>
        </x:is>
      </x:c>
      <x:c r="H107" s="9" t="inlineStr">
        <x:is>
          <x:t xml:space="preserve">Sí</x:t>
        </x:is>
      </x:c>
    </x:row>
    <x:row r="108" ht="32" customHeight="1">
      <x:c r="A108" s="9" t="inlineStr">
        <x:is>
          <x:t xml:space="preserve">TES-0107</x:t>
        </x:is>
      </x:c>
      <x:c r="B108" s="9" t="inlineStr">
        <x:is>
          <x:t xml:space="preserve">PRO-0107</x:t>
        </x:is>
      </x:c>
      <x:c r="C108" s="9" t="inlineStr">
        <x:is>
          <x:t xml:space="preserve">EMP-036</x:t>
        </x:is>
      </x:c>
      <x:c r="D108" s="9" t="inlineStr">
        <x:is>
          <x:t xml:space="preserve">Claudia Araya Reyes</x:t>
        </x:is>
      </x:c>
      <x:c r="E108" s="16" t="n">
        <x:v>45114</x:v>
      </x:c>
      <x:c r="F108" s="9" t="n">
        <x:v>5</x:v>
      </x:c>
      <x:c r="G108" s="10" t="inlineStr">
        <x:is>
          <x:t xml:space="preserve">El proyecto se entregó con terminaciones limpias y las instalaciones funcionaron correctamente desde el inicio.</x:t>
        </x:is>
      </x:c>
      <x:c r="H108" s="9" t="inlineStr">
        <x:is>
          <x:t xml:space="preserve">Sí</x:t>
        </x:is>
      </x:c>
    </x:row>
    <x:row r="109" ht="32" customHeight="1">
      <x:c r="A109" s="9" t="inlineStr">
        <x:is>
          <x:t xml:space="preserve">TES-0108</x:t>
        </x:is>
      </x:c>
      <x:c r="B109" s="9" t="inlineStr">
        <x:is>
          <x:t xml:space="preserve">PRO-0108</x:t>
        </x:is>
      </x:c>
      <x:c r="C109" s="9" t="inlineStr">
        <x:is>
          <x:t xml:space="preserve">EMP-036</x:t>
        </x:is>
      </x:c>
      <x:c r="D109" s="9" t="inlineStr">
        <x:is>
          <x:t xml:space="preserve">Josefa Leiva Navarro</x:t>
        </x:is>
      </x:c>
      <x:c r="E109" s="16" t="n">
        <x:v>45299</x:v>
      </x:c>
      <x:c r="F109" s="9" t="n">
        <x:v>5</x:v>
      </x:c>
      <x:c r="G109" s="10" t="inlineStr">
        <x:is>
          <x:t xml:space="preserve">Quedamos conformes con la solución modular; redujo tiempos de obra y residuos en terreno.</x:t>
        </x:is>
      </x:c>
      <x:c r="H109" s="9" t="inlineStr">
        <x:is>
          <x:t xml:space="preserve">Sí</x:t>
        </x:is>
      </x:c>
    </x:row>
    <x:row r="110" ht="32" customHeight="1">
      <x:c r="A110" s="9" t="inlineStr">
        <x:is>
          <x:t xml:space="preserve">TES-0109</x:t>
        </x:is>
      </x:c>
      <x:c r="B110" s="9" t="inlineStr">
        <x:is>
          <x:t xml:space="preserve">PRO-0109</x:t>
        </x:is>
      </x:c>
      <x:c r="C110" s="9" t="inlineStr">
        <x:is>
          <x:t xml:space="preserve">EMP-037</x:t>
        </x:is>
      </x:c>
      <x:c r="D110" s="9" t="inlineStr">
        <x:is>
          <x:t xml:space="preserve">Esteban Orellana Saavedra</x:t>
        </x:is>
      </x:c>
      <x:c r="E110" s="16" t="n">
        <x:v>45005</x:v>
      </x:c>
      <x:c r="F110" s="9" t="n">
        <x:v>4</x:v>
      </x:c>
      <x:c r="G110" s="10" t="inlineStr">
        <x:is>
          <x:t xml:space="preserve">El modelo se adaptó bien a la parcela y la postventa respondió en tiempo razonable.</x:t>
        </x:is>
      </x:c>
      <x:c r="H110" s="9" t="inlineStr">
        <x:is>
          <x:t xml:space="preserve">Sí</x:t>
        </x:is>
      </x:c>
    </x:row>
    <x:row r="111" ht="32" customHeight="1">
      <x:c r="A111" s="9" t="inlineStr">
        <x:is>
          <x:t xml:space="preserve">TES-0110</x:t>
        </x:is>
      </x:c>
      <x:c r="B111" s="9" t="inlineStr">
        <x:is>
          <x:t xml:space="preserve">PRO-0110</x:t>
        </x:is>
      </x:c>
      <x:c r="C111" s="9" t="inlineStr">
        <x:is>
          <x:t xml:space="preserve">EMP-037</x:t>
        </x:is>
      </x:c>
      <x:c r="D111" s="9" t="inlineStr">
        <x:is>
          <x:t xml:space="preserve">Joaquín González Peña</x:t>
        </x:is>
      </x:c>
      <x:c r="E111" s="16" t="n">
        <x:v>44920</x:v>
      </x:c>
      <x:c r="F111" s="9" t="n">
        <x:v>5</x:v>
      </x:c>
      <x:c r="G111" s="10" t="inlineStr">
        <x:is>
          <x:t xml:space="preserve">La aislación y los termopaneles mejoraron mucho el confort interior en comparación con nuestra vivienda anterior.</x:t>
        </x:is>
      </x:c>
      <x:c r="H111" s="9" t="inlineStr">
        <x:is>
          <x:t xml:space="preserve">Sí</x:t>
        </x:is>
      </x:c>
    </x:row>
    <x:row r="112" ht="32" customHeight="1">
      <x:c r="A112" s="9" t="inlineStr">
        <x:is>
          <x:t xml:space="preserve">TES-0111</x:t>
        </x:is>
      </x:c>
      <x:c r="B112" s="9" t="inlineStr">
        <x:is>
          <x:t xml:space="preserve">PRO-0111</x:t>
        </x:is>
      </x:c>
      <x:c r="C112" s="9" t="inlineStr">
        <x:is>
          <x:t xml:space="preserve">EMP-037</x:t>
        </x:is>
      </x:c>
      <x:c r="D112" s="9" t="inlineStr">
        <x:is>
          <x:t xml:space="preserve">Tomás Reyes Contreras</x:t>
        </x:is>
      </x:c>
      <x:c r="E112" s="16" t="n">
        <x:v>45653</x:v>
      </x:c>
      <x:c r="F112" s="9" t="n">
        <x:v>4</x:v>
      </x:c>
      <x:c r="G112" s="10" t="inlineStr">
        <x:is>
          <x:t xml:space="preserve">El proyecto se entregó con terminaciones limpias y las instalaciones funcionaron correctamente desde el inicio.</x:t>
        </x:is>
      </x:c>
      <x:c r="H112" s="9" t="inlineStr">
        <x:is>
          <x:t xml:space="preserve">Sí</x:t>
        </x:is>
      </x:c>
    </x:row>
    <x:row r="113" ht="32" customHeight="1">
      <x:c r="A113" s="9" t="inlineStr">
        <x:is>
          <x:t xml:space="preserve">TES-0112</x:t>
        </x:is>
      </x:c>
      <x:c r="B113" s="9" t="inlineStr">
        <x:is>
          <x:t xml:space="preserve">PRO-0112</x:t>
        </x:is>
      </x:c>
      <x:c r="C113" s="9" t="inlineStr">
        <x:is>
          <x:t xml:space="preserve">EMP-038</x:t>
        </x:is>
      </x:c>
      <x:c r="D113" s="9" t="inlineStr">
        <x:is>
          <x:t xml:space="preserve">Agustín Muñoz Carrasco</x:t>
        </x:is>
      </x:c>
      <x:c r="E113" s="16" t="n">
        <x:v>45488</x:v>
      </x:c>
      <x:c r="F113" s="9" t="n">
        <x:v>4</x:v>
      </x:c>
      <x:c r="G113" s="10" t="inlineStr">
        <x:is>
          <x:t xml:space="preserve">El proyecto se entregó con terminaciones limpias y las instalaciones funcionaron correctamente desde el inicio.</x:t>
        </x:is>
      </x:c>
      <x:c r="H113" s="9" t="inlineStr">
        <x:is>
          <x:t xml:space="preserve">Sí</x:t>
        </x:is>
      </x:c>
    </x:row>
    <x:row r="114" ht="32" customHeight="1">
      <x:c r="A114" s="9" t="inlineStr">
        <x:is>
          <x:t xml:space="preserve">TES-0113</x:t>
        </x:is>
      </x:c>
      <x:c r="B114" s="9" t="inlineStr">
        <x:is>
          <x:t xml:space="preserve">PRO-0113</x:t>
        </x:is>
      </x:c>
      <x:c r="C114" s="9" t="inlineStr">
        <x:is>
          <x:t xml:space="preserve">EMP-038</x:t>
        </x:is>
      </x:c>
      <x:c r="D114" s="9" t="inlineStr">
        <x:is>
          <x:t xml:space="preserve">Diego Escobar Vera</x:t>
        </x:is>
      </x:c>
      <x:c r="E114" s="16" t="n">
        <x:v>44988</x:v>
      </x:c>
      <x:c r="F114" s="9" t="n">
        <x:v>5</x:v>
      </x:c>
      <x:c r="G114" s="10" t="inlineStr">
        <x:is>
          <x:t xml:space="preserve">El proyecto se entregó con terminaciones limpias y las instalaciones funcionaron correctamente desde el inicio.</x:t>
        </x:is>
      </x:c>
      <x:c r="H114" s="9" t="inlineStr">
        <x:is>
          <x:t xml:space="preserve">Sí</x:t>
        </x:is>
      </x:c>
    </x:row>
    <x:row r="115" ht="32" customHeight="1">
      <x:c r="A115" s="9" t="inlineStr">
        <x:is>
          <x:t xml:space="preserve">TES-0114</x:t>
        </x:is>
      </x:c>
      <x:c r="B115" s="9" t="inlineStr">
        <x:is>
          <x:t xml:space="preserve">PRO-0114</x:t>
        </x:is>
      </x:c>
      <x:c r="C115" s="9" t="inlineStr">
        <x:is>
          <x:t xml:space="preserve">EMP-038</x:t>
        </x:is>
      </x:c>
      <x:c r="D115" s="9" t="inlineStr">
        <x:is>
          <x:t xml:space="preserve">Gonzalo Bahamondes Ramírez</x:t>
        </x:is>
      </x:c>
      <x:c r="E115" s="16" t="n">
        <x:v>44661</x:v>
      </x:c>
      <x:c r="F115" s="9" t="n">
        <x:v>5</x:v>
      </x:c>
      <x:c r="G115" s="10" t="inlineStr">
        <x:is>
          <x:t xml:space="preserve">Quedamos conformes con la solución modular; redujo tiempos de obra y residuos en terreno.</x:t>
        </x:is>
      </x:c>
      <x:c r="H115" s="9" t="inlineStr">
        <x:is>
          <x:t xml:space="preserve">Sí</x:t>
        </x:is>
      </x:c>
    </x:row>
    <x:row r="116" ht="32" customHeight="1">
      <x:c r="A116" s="9" t="inlineStr">
        <x:is>
          <x:t xml:space="preserve">TES-0115</x:t>
        </x:is>
      </x:c>
      <x:c r="B116" s="9" t="inlineStr">
        <x:is>
          <x:t xml:space="preserve">PRO-0115</x:t>
        </x:is>
      </x:c>
      <x:c r="C116" s="9" t="inlineStr">
        <x:is>
          <x:t xml:space="preserve">EMP-039</x:t>
        </x:is>
      </x:c>
      <x:c r="D116" s="9" t="inlineStr">
        <x:is>
          <x:t xml:space="preserve">Constanza Molina Morales</x:t>
        </x:is>
      </x:c>
      <x:c r="E116" s="16" t="n">
        <x:v>45241</x:v>
      </x:c>
      <x:c r="F116" s="9" t="n">
        <x:v>5</x:v>
      </x:c>
      <x:c r="G116" s="10" t="inlineStr">
        <x:is>
          <x:t xml:space="preserve">El modelo se adaptó bien a la parcela y la postventa respondió en tiempo razonable.</x:t>
        </x:is>
      </x:c>
      <x:c r="H116" s="9" t="inlineStr">
        <x:is>
          <x:t xml:space="preserve">Sí</x:t>
        </x:is>
      </x:c>
    </x:row>
    <x:row r="117" ht="32" customHeight="1">
      <x:c r="A117" s="9" t="inlineStr">
        <x:is>
          <x:t xml:space="preserve">TES-0116</x:t>
        </x:is>
      </x:c>
      <x:c r="B117" s="9" t="inlineStr">
        <x:is>
          <x:t xml:space="preserve">PRO-0116</x:t>
        </x:is>
      </x:c>
      <x:c r="C117" s="9" t="inlineStr">
        <x:is>
          <x:t xml:space="preserve">EMP-039</x:t>
        </x:is>
      </x:c>
      <x:c r="D117" s="9" t="inlineStr">
        <x:is>
          <x:t xml:space="preserve">Agustín Vargas Sandoval</x:t>
        </x:is>
      </x:c>
      <x:c r="E117" s="16" t="n">
        <x:v>44729</x:v>
      </x:c>
      <x:c r="F117" s="9" t="n">
        <x:v>4</x:v>
      </x:c>
      <x:c r="G117" s="10" t="inlineStr">
        <x:is>
          <x:t xml:space="preserve">Valoramos la rapidez de instalación y la coordinación entre fábrica, transporte y montaje.</x:t>
        </x:is>
      </x:c>
      <x:c r="H117" s="9" t="inlineStr">
        <x:is>
          <x:t xml:space="preserve">Sí</x:t>
        </x:is>
      </x:c>
    </x:row>
    <x:row r="118" ht="32" customHeight="1">
      <x:c r="A118" s="9" t="inlineStr">
        <x:is>
          <x:t xml:space="preserve">TES-0117</x:t>
        </x:is>
      </x:c>
      <x:c r="B118" s="9" t="inlineStr">
        <x:is>
          <x:t xml:space="preserve">PRO-0117</x:t>
        </x:is>
      </x:c>
      <x:c r="C118" s="9" t="inlineStr">
        <x:is>
          <x:t xml:space="preserve">EMP-039</x:t>
        </x:is>
      </x:c>
      <x:c r="D118" s="9" t="inlineStr">
        <x:is>
          <x:t xml:space="preserve">Catalina Navarro Fuentes</x:t>
        </x:is>
      </x:c>
      <x:c r="E118" s="16" t="n">
        <x:v>45645</x:v>
      </x:c>
      <x:c r="F118" s="9" t="n">
        <x:v>5</x:v>
      </x:c>
      <x:c r="G118" s="10" t="inlineStr">
        <x:is>
          <x:t xml:space="preserve">El modelo se adaptó bien a la parcela y la postventa respondió en tiempo razonable.</x:t>
        </x:is>
      </x:c>
      <x:c r="H118" s="9" t="inlineStr">
        <x:is>
          <x:t xml:space="preserve">Sí</x:t>
        </x:is>
      </x:c>
    </x:row>
    <x:row r="119" ht="32" customHeight="1">
      <x:c r="A119" s="9" t="inlineStr">
        <x:is>
          <x:t xml:space="preserve">TES-0118</x:t>
        </x:is>
      </x:c>
      <x:c r="B119" s="9" t="inlineStr">
        <x:is>
          <x:t xml:space="preserve">PRO-0118</x:t>
        </x:is>
      </x:c>
      <x:c r="C119" s="9" t="inlineStr">
        <x:is>
          <x:t xml:space="preserve">EMP-040</x:t>
        </x:is>
      </x:c>
      <x:c r="D119" s="9" t="inlineStr">
        <x:is>
          <x:t xml:space="preserve">Valentina Tapia Torres</x:t>
        </x:is>
      </x:c>
      <x:c r="E119" s="16" t="n">
        <x:v>44789</x:v>
      </x:c>
      <x:c r="F119" s="9" t="n">
        <x:v>5</x:v>
      </x:c>
      <x:c r="G119" s="10" t="inlineStr">
        <x:is>
          <x:t xml:space="preserve">El proyecto se entregó con terminaciones limpias y las instalaciones funcionaron correctamente desde el inicio.</x:t>
        </x:is>
      </x:c>
      <x:c r="H119" s="9" t="inlineStr">
        <x:is>
          <x:t xml:space="preserve">Sí</x:t>
        </x:is>
      </x:c>
    </x:row>
    <x:row r="120" ht="32" customHeight="1">
      <x:c r="A120" s="9" t="inlineStr">
        <x:is>
          <x:t xml:space="preserve">TES-0119</x:t>
        </x:is>
      </x:c>
      <x:c r="B120" s="9" t="inlineStr">
        <x:is>
          <x:t xml:space="preserve">PRO-0119</x:t>
        </x:is>
      </x:c>
      <x:c r="C120" s="9" t="inlineStr">
        <x:is>
          <x:t xml:space="preserve">EMP-040</x:t>
        </x:is>
      </x:c>
      <x:c r="D120" s="9" t="inlineStr">
        <x:is>
          <x:t xml:space="preserve">Carolina Herrera Salinas</x:t>
        </x:is>
      </x:c>
      <x:c r="E120" s="16" t="n">
        <x:v>45147</x:v>
      </x:c>
      <x:c r="F120" s="9" t="n">
        <x:v>4</x:v>
      </x:c>
      <x:c r="G120" s="10" t="inlineStr">
        <x:is>
          <x:t xml:space="preserve">El modelo se adaptó bien a la parcela y la postventa respondió en tiempo razonable.</x:t>
        </x:is>
      </x:c>
      <x:c r="H120" s="9" t="inlineStr">
        <x:is>
          <x:t xml:space="preserve">Sí</x:t>
        </x:is>
      </x:c>
    </x:row>
    <x:row r="121" ht="32" customHeight="1">
      <x:c r="A121" s="9" t="inlineStr">
        <x:is>
          <x:t xml:space="preserve">TES-0120</x:t>
        </x:is>
      </x:c>
      <x:c r="B121" s="9" t="inlineStr">
        <x:is>
          <x:t xml:space="preserve">PRO-0120</x:t>
        </x:is>
      </x:c>
      <x:c r="C121" s="9" t="inlineStr">
        <x:is>
          <x:t xml:space="preserve">EMP-040</x:t>
        </x:is>
      </x:c>
      <x:c r="D121" s="9" t="inlineStr">
        <x:is>
          <x:t xml:space="preserve">Diego Vargas Salinas</x:t>
        </x:is>
      </x:c>
      <x:c r="E121" s="16" t="n">
        <x:v>44829</x:v>
      </x:c>
      <x:c r="F121" s="9" t="n">
        <x:v>5</x:v>
      </x:c>
      <x:c r="G121" s="10" t="inlineStr">
        <x:is>
          <x:t xml:space="preserve">El proyecto se entregó con terminaciones limpias y las instalaciones funcionaron correctamente desde el inicio.</x:t>
        </x:is>
      </x:c>
      <x:c r="H121" s="9" t="inlineStr">
        <x:is>
          <x:t xml:space="preserve">Sí</x:t>
        </x:is>
      </x:c>
    </x:row>
    <x:row r="122" ht="32" customHeight="1">
      <x:c r="A122" s="9" t="inlineStr">
        <x:is>
          <x:t xml:space="preserve">TES-0121</x:t>
        </x:is>
      </x:c>
      <x:c r="B122" s="9" t="inlineStr">
        <x:is>
          <x:t xml:space="preserve">PRO-0121</x:t>
        </x:is>
      </x:c>
      <x:c r="C122" s="9" t="inlineStr">
        <x:is>
          <x:t xml:space="preserve">EMP-041</x:t>
        </x:is>
      </x:c>
      <x:c r="D122" s="9" t="inlineStr">
        <x:is>
          <x:t xml:space="preserve">Iván Bravo Morales</x:t>
        </x:is>
      </x:c>
      <x:c r="E122" s="16" t="n">
        <x:v>45895</x:v>
      </x:c>
      <x:c r="F122" s="9" t="n">
        <x:v>5</x:v>
      </x:c>
      <x:c r="G122" s="10" t="inlineStr">
        <x:is>
          <x:t xml:space="preserve">Valoramos la rapidez de instalación y la coordinación entre fábrica, transporte y montaje.</x:t>
        </x:is>
      </x:c>
      <x:c r="H122" s="9" t="inlineStr">
        <x:is>
          <x:t xml:space="preserve">Sí</x:t>
        </x:is>
      </x:c>
    </x:row>
    <x:row r="123" ht="32" customHeight="1">
      <x:c r="A123" s="9" t="inlineStr">
        <x:is>
          <x:t xml:space="preserve">TES-0122</x:t>
        </x:is>
      </x:c>
      <x:c r="B123" s="9" t="inlineStr">
        <x:is>
          <x:t xml:space="preserve">PRO-0122</x:t>
        </x:is>
      </x:c>
      <x:c r="C123" s="9" t="inlineStr">
        <x:is>
          <x:t xml:space="preserve">EMP-041</x:t>
        </x:is>
      </x:c>
      <x:c r="D123" s="9" t="inlineStr">
        <x:is>
          <x:t xml:space="preserve">Iván Valdés Pino</x:t>
        </x:is>
      </x:c>
      <x:c r="E123" s="16" t="n">
        <x:v>45564</x:v>
      </x:c>
      <x:c r="F123" s="9" t="n">
        <x:v>4</x:v>
      </x:c>
      <x:c r="G123" s="10" t="inlineStr">
        <x:is>
          <x:t xml:space="preserve">Quedamos conformes con la solución modular; redujo tiempos de obra y residuos en terreno.</x:t>
        </x:is>
      </x:c>
      <x:c r="H123" s="9" t="inlineStr">
        <x:is>
          <x:t xml:space="preserve">Sí</x:t>
        </x:is>
      </x:c>
    </x:row>
    <x:row r="124" ht="32" customHeight="1">
      <x:c r="A124" s="9" t="inlineStr">
        <x:is>
          <x:t xml:space="preserve">TES-0123</x:t>
        </x:is>
      </x:c>
      <x:c r="B124" s="9" t="inlineStr">
        <x:is>
          <x:t xml:space="preserve">PRO-0123</x:t>
        </x:is>
      </x:c>
      <x:c r="C124" s="9" t="inlineStr">
        <x:is>
          <x:t xml:space="preserve">EMP-041</x:t>
        </x:is>
      </x:c>
      <x:c r="D124" s="9" t="inlineStr">
        <x:is>
          <x:t xml:space="preserve">Vicente Alarcón Mardones</x:t>
        </x:is>
      </x:c>
      <x:c r="E124" s="16" t="n">
        <x:v>45525</x:v>
      </x:c>
      <x:c r="F124" s="9" t="n">
        <x:v>5</x:v>
      </x:c>
      <x:c r="G124" s="10" t="inlineStr">
        <x:is>
          <x:t xml:space="preserve">Valoramos la rapidez de instalación y la coordinación entre fábrica, transporte y montaje.</x:t>
        </x:is>
      </x:c>
      <x:c r="H124" s="9" t="inlineStr">
        <x:is>
          <x:t xml:space="preserve">Sí</x:t>
        </x:is>
      </x:c>
    </x:row>
    <x:row r="125" ht="32" customHeight="1">
      <x:c r="A125" s="9" t="inlineStr">
        <x:is>
          <x:t xml:space="preserve">TES-0124</x:t>
        </x:is>
      </x:c>
      <x:c r="B125" s="9" t="inlineStr">
        <x:is>
          <x:t xml:space="preserve">PRO-0124</x:t>
        </x:is>
      </x:c>
      <x:c r="C125" s="9" t="inlineStr">
        <x:is>
          <x:t xml:space="preserve">EMP-042</x:t>
        </x:is>
      </x:c>
      <x:c r="D125" s="9" t="inlineStr">
        <x:is>
          <x:t xml:space="preserve">Nicolás Núñez Soto</x:t>
        </x:is>
      </x:c>
      <x:c r="E125" s="16" t="n">
        <x:v>44525</x:v>
      </x:c>
      <x:c r="F125" s="9" t="n">
        <x:v>5</x:v>
      </x:c>
      <x:c r="G125" s="10" t="inlineStr">
        <x:is>
          <x:t xml:space="preserve">Valoramos la rapidez de instalación y la coordinación entre fábrica, transporte y montaje.</x:t>
        </x:is>
      </x:c>
      <x:c r="H125" s="9" t="inlineStr">
        <x:is>
          <x:t xml:space="preserve">Sí</x:t>
        </x:is>
      </x:c>
    </x:row>
    <x:row r="126" ht="32" customHeight="1">
      <x:c r="A126" s="9" t="inlineStr">
        <x:is>
          <x:t xml:space="preserve">TES-0125</x:t>
        </x:is>
      </x:c>
      <x:c r="B126" s="9" t="inlineStr">
        <x:is>
          <x:t xml:space="preserve">PRO-0125</x:t>
        </x:is>
      </x:c>
      <x:c r="C126" s="9" t="inlineStr">
        <x:is>
          <x:t xml:space="preserve">EMP-042</x:t>
        </x:is>
      </x:c>
      <x:c r="D126" s="9" t="inlineStr">
        <x:is>
          <x:t xml:space="preserve">Nicolás Henríquez Molina</x:t>
        </x:is>
      </x:c>
      <x:c r="E126" s="16" t="n">
        <x:v>44417</x:v>
      </x:c>
      <x:c r="F126" s="9" t="n">
        <x:v>5</x:v>
      </x:c>
      <x:c r="G126" s="10" t="inlineStr">
        <x:is>
          <x:t xml:space="preserve">Valoramos la rapidez de instalación y la coordinación entre fábrica, transporte y montaje.</x:t>
        </x:is>
      </x:c>
      <x:c r="H126" s="9" t="inlineStr">
        <x:is>
          <x:t xml:space="preserve">Sí</x:t>
        </x:is>
      </x:c>
    </x:row>
    <x:row r="127" ht="32" customHeight="1">
      <x:c r="A127" s="9" t="inlineStr">
        <x:is>
          <x:t xml:space="preserve">TES-0126</x:t>
        </x:is>
      </x:c>
      <x:c r="B127" s="9" t="inlineStr">
        <x:is>
          <x:t xml:space="preserve">PRO-0126</x:t>
        </x:is>
      </x:c>
      <x:c r="C127" s="9" t="inlineStr">
        <x:is>
          <x:t xml:space="preserve">EMP-042</x:t>
        </x:is>
      </x:c>
      <x:c r="D127" s="9" t="inlineStr">
        <x:is>
          <x:t xml:space="preserve">Josefa Leiva Acuña</x:t>
        </x:is>
      </x:c>
      <x:c r="E127" s="16" t="n">
        <x:v>45181</x:v>
      </x:c>
      <x:c r="F127" s="9" t="n">
        <x:v>4</x:v>
      </x:c>
      <x:c r="G127" s="10" t="inlineStr">
        <x:is>
          <x:t xml:space="preserve">Valoramos la rapidez de instalación y la coordinación entre fábrica, transporte y montaje.</x:t>
        </x:is>
      </x:c>
      <x:c r="H127" s="9" t="inlineStr">
        <x:is>
          <x:t xml:space="preserve">Sí</x:t>
        </x:is>
      </x:c>
    </x:row>
    <x:row r="128" ht="32" customHeight="1">
      <x:c r="A128" s="9" t="inlineStr">
        <x:is>
          <x:t xml:space="preserve">TES-0127</x:t>
        </x:is>
      </x:c>
      <x:c r="B128" s="9" t="inlineStr">
        <x:is>
          <x:t xml:space="preserve">PRO-0127</x:t>
        </x:is>
      </x:c>
      <x:c r="C128" s="9" t="inlineStr">
        <x:is>
          <x:t xml:space="preserve">EMP-043</x:t>
        </x:is>
      </x:c>
      <x:c r="D128" s="9" t="inlineStr">
        <x:is>
          <x:t xml:space="preserve">Gabriel Fuentes Henríquez</x:t>
        </x:is>
      </x:c>
      <x:c r="E128" s="16" t="n">
        <x:v>45773</x:v>
      </x:c>
      <x:c r="F128" s="9" t="n">
        <x:v>4</x:v>
      </x:c>
      <x:c r="G128" s="10" t="inlineStr">
        <x:is>
          <x:t xml:space="preserve">El modelo se adaptó bien a la parcela y la postventa respondió en tiempo razonable.</x:t>
        </x:is>
      </x:c>
      <x:c r="H128" s="9" t="inlineStr">
        <x:is>
          <x:t xml:space="preserve">Sí</x:t>
        </x:is>
      </x:c>
    </x:row>
    <x:row r="129" ht="32" customHeight="1">
      <x:c r="A129" s="9" t="inlineStr">
        <x:is>
          <x:t xml:space="preserve">TES-0128</x:t>
        </x:is>
      </x:c>
      <x:c r="B129" s="9" t="inlineStr">
        <x:is>
          <x:t xml:space="preserve">PRO-0128</x:t>
        </x:is>
      </x:c>
      <x:c r="C129" s="9" t="inlineStr">
        <x:is>
          <x:t xml:space="preserve">EMP-043</x:t>
        </x:is>
      </x:c>
      <x:c r="D129" s="9" t="inlineStr">
        <x:is>
          <x:t xml:space="preserve">Daniela Bustos Salinas</x:t>
        </x:is>
      </x:c>
      <x:c r="E129" s="16" t="n">
        <x:v>45045</x:v>
      </x:c>
      <x:c r="F129" s="9" t="n">
        <x:v>5</x:v>
      </x:c>
      <x:c r="G129" s="10" t="inlineStr">
        <x:is>
          <x:t xml:space="preserve">Quedamos conformes con la solución modular; redujo tiempos de obra y residuos en terreno.</x:t>
        </x:is>
      </x:c>
      <x:c r="H129" s="9" t="inlineStr">
        <x:is>
          <x:t xml:space="preserve">Sí</x:t>
        </x:is>
      </x:c>
    </x:row>
    <x:row r="130" ht="32" customHeight="1">
      <x:c r="A130" s="9" t="inlineStr">
        <x:is>
          <x:t xml:space="preserve">TES-0129</x:t>
        </x:is>
      </x:c>
      <x:c r="B130" s="9" t="inlineStr">
        <x:is>
          <x:t xml:space="preserve">PRO-0129</x:t>
        </x:is>
      </x:c>
      <x:c r="C130" s="9" t="inlineStr">
        <x:is>
          <x:t xml:space="preserve">EMP-043</x:t>
        </x:is>
      </x:c>
      <x:c r="D130" s="9" t="inlineStr">
        <x:is>
          <x:t xml:space="preserve">Vicente Contreras Ramírez</x:t>
        </x:is>
      </x:c>
      <x:c r="E130" s="16" t="n">
        <x:v>44417</x:v>
      </x:c>
      <x:c r="F130" s="9" t="n">
        <x:v>5</x:v>
      </x:c>
      <x:c r="G130" s="10" t="inlineStr">
        <x:is>
          <x:t xml:space="preserve">La aislación y los termopaneles mejoraron mucho el confort interior en comparación con nuestra vivienda anterior.</x:t>
        </x:is>
      </x:c>
      <x:c r="H130" s="9" t="inlineStr">
        <x:is>
          <x:t xml:space="preserve">Sí</x:t>
        </x:is>
      </x:c>
    </x:row>
    <x:row r="131" ht="32" customHeight="1">
      <x:c r="A131" s="9" t="inlineStr">
        <x:is>
          <x:t xml:space="preserve">TES-0130</x:t>
        </x:is>
      </x:c>
      <x:c r="B131" s="9" t="inlineStr">
        <x:is>
          <x:t xml:space="preserve">PRO-0130</x:t>
        </x:is>
      </x:c>
      <x:c r="C131" s="9" t="inlineStr">
        <x:is>
          <x:t xml:space="preserve">EMP-044</x:t>
        </x:is>
      </x:c>
      <x:c r="D131" s="9" t="inlineStr">
        <x:is>
          <x:t xml:space="preserve">Martín Ramírez Rojas</x:t>
        </x:is>
      </x:c>
      <x:c r="E131" s="16" t="n">
        <x:v>45414</x:v>
      </x:c>
      <x:c r="F131" s="9" t="n">
        <x:v>4</x:v>
      </x:c>
      <x:c r="G131" s="10" t="inlineStr">
        <x:is>
          <x:t xml:space="preserve">El modelo se adaptó bien a la parcela y la postventa respondió en tiempo razonable.</x:t>
        </x:is>
      </x:c>
      <x:c r="H131" s="9" t="inlineStr">
        <x:is>
          <x:t xml:space="preserve">Sí</x:t>
        </x:is>
      </x:c>
    </x:row>
    <x:row r="132" ht="32" customHeight="1">
      <x:c r="A132" s="9" t="inlineStr">
        <x:is>
          <x:t xml:space="preserve">TES-0131</x:t>
        </x:is>
      </x:c>
      <x:c r="B132" s="9" t="inlineStr">
        <x:is>
          <x:t xml:space="preserve">PRO-0131</x:t>
        </x:is>
      </x:c>
      <x:c r="C132" s="9" t="inlineStr">
        <x:is>
          <x:t xml:space="preserve">EMP-044</x:t>
        </x:is>
      </x:c>
      <x:c r="D132" s="9" t="inlineStr">
        <x:is>
          <x:t xml:space="preserve">Benjamín Torres Reyes</x:t>
        </x:is>
      </x:c>
      <x:c r="E132" s="16" t="n">
        <x:v>46037</x:v>
      </x:c>
      <x:c r="F132" s="9" t="n">
        <x:v>5</x:v>
      </x:c>
      <x:c r="G132" s="10" t="inlineStr">
        <x:is>
          <x:t xml:space="preserve">Valoramos la rapidez de instalación y la coordinación entre fábrica, transporte y montaje.</x:t>
        </x:is>
      </x:c>
      <x:c r="H132" s="9" t="inlineStr">
        <x:is>
          <x:t xml:space="preserve">Sí</x:t>
        </x:is>
      </x:c>
    </x:row>
    <x:row r="133" ht="32" customHeight="1">
      <x:c r="A133" s="9" t="inlineStr">
        <x:is>
          <x:t xml:space="preserve">TES-0132</x:t>
        </x:is>
      </x:c>
      <x:c r="B133" s="9" t="inlineStr">
        <x:is>
          <x:t xml:space="preserve">PRO-0132</x:t>
        </x:is>
      </x:c>
      <x:c r="C133" s="9" t="inlineStr">
        <x:is>
          <x:t xml:space="preserve">EMP-044</x:t>
        </x:is>
      </x:c>
      <x:c r="D133" s="9" t="inlineStr">
        <x:is>
          <x:t xml:space="preserve">Esteban Sepúlveda Ramírez</x:t>
        </x:is>
      </x:c>
      <x:c r="E133" s="16" t="n">
        <x:v>46018</x:v>
      </x:c>
      <x:c r="F133" s="9" t="n">
        <x:v>4</x:v>
      </x:c>
      <x:c r="G133" s="10" t="inlineStr">
        <x:is>
          <x:t xml:space="preserve">Quedamos conformes con la solución modular; redujo tiempos de obra y residuos en terreno.</x:t>
        </x:is>
      </x:c>
      <x:c r="H133" s="9" t="inlineStr">
        <x:is>
          <x:t xml:space="preserve">Sí</x:t>
        </x:is>
      </x:c>
    </x:row>
    <x:row r="134" ht="32" customHeight="1">
      <x:c r="A134" s="9" t="inlineStr">
        <x:is>
          <x:t xml:space="preserve">TES-0133</x:t>
        </x:is>
      </x:c>
      <x:c r="B134" s="9" t="inlineStr">
        <x:is>
          <x:t xml:space="preserve">PRO-0133</x:t>
        </x:is>
      </x:c>
      <x:c r="C134" s="9" t="inlineStr">
        <x:is>
          <x:t xml:space="preserve">EMP-045</x:t>
        </x:is>
      </x:c>
      <x:c r="D134" s="9" t="inlineStr">
        <x:is>
          <x:t xml:space="preserve">Florencia Reyes Rojas</x:t>
        </x:is>
      </x:c>
      <x:c r="E134" s="16" t="n">
        <x:v>45137</x:v>
      </x:c>
      <x:c r="F134" s="9" t="n">
        <x:v>5</x:v>
      </x:c>
      <x:c r="G134" s="10" t="inlineStr">
        <x:is>
          <x:t xml:space="preserve">Valoramos la rapidez de instalación y la coordinación entre fábrica, transporte y montaje.</x:t>
        </x:is>
      </x:c>
      <x:c r="H134" s="9" t="inlineStr">
        <x:is>
          <x:t xml:space="preserve">Sí</x:t>
        </x:is>
      </x:c>
    </x:row>
    <x:row r="135" ht="32" customHeight="1">
      <x:c r="A135" s="9" t="inlineStr">
        <x:is>
          <x:t xml:space="preserve">TES-0134</x:t>
        </x:is>
      </x:c>
      <x:c r="B135" s="9" t="inlineStr">
        <x:is>
          <x:t xml:space="preserve">PRO-0134</x:t>
        </x:is>
      </x:c>
      <x:c r="C135" s="9" t="inlineStr">
        <x:is>
          <x:t xml:space="preserve">EMP-045</x:t>
        </x:is>
      </x:c>
      <x:c r="D135" s="9" t="inlineStr">
        <x:is>
          <x:t xml:space="preserve">Trinidad Núñez Campos</x:t>
        </x:is>
      </x:c>
      <x:c r="E135" s="16" t="n">
        <x:v>45498</x:v>
      </x:c>
      <x:c r="F135" s="9" t="n">
        <x:v>4</x:v>
      </x:c>
      <x:c r="G135" s="10" t="inlineStr">
        <x:is>
          <x:t xml:space="preserve">El modelo se adaptó bien a la parcela y la postventa respondió en tiempo razonable.</x:t>
        </x:is>
      </x:c>
      <x:c r="H135" s="9" t="inlineStr">
        <x:is>
          <x:t xml:space="preserve">Sí</x:t>
        </x:is>
      </x:c>
    </x:row>
    <x:row r="136" ht="32" customHeight="1">
      <x:c r="A136" s="9" t="inlineStr">
        <x:is>
          <x:t xml:space="preserve">TES-0135</x:t>
        </x:is>
      </x:c>
      <x:c r="B136" s="9" t="inlineStr">
        <x:is>
          <x:t xml:space="preserve">PRO-0135</x:t>
        </x:is>
      </x:c>
      <x:c r="C136" s="9" t="inlineStr">
        <x:is>
          <x:t xml:space="preserve">EMP-045</x:t>
        </x:is>
      </x:c>
      <x:c r="D136" s="9" t="inlineStr">
        <x:is>
          <x:t xml:space="preserve">Valentina Morales Mella</x:t>
        </x:is>
      </x:c>
      <x:c r="E136" s="16" t="n">
        <x:v>44508</x:v>
      </x:c>
      <x:c r="F136" s="9" t="n">
        <x:v>4</x:v>
      </x:c>
      <x:c r="G136" s="10" t="inlineStr">
        <x:is>
          <x:t xml:space="preserve">Quedamos conformes con la solución modular; redujo tiempos de obra y residuos en terreno.</x:t>
        </x:is>
      </x:c>
      <x:c r="H136" s="9" t="inlineStr">
        <x:is>
          <x:t xml:space="preserve">Sí</x:t>
        </x:is>
      </x:c>
    </x:row>
    <x:row r="137" ht="32" customHeight="1">
      <x:c r="A137" s="9" t="inlineStr">
        <x:is>
          <x:t xml:space="preserve">TES-0136</x:t>
        </x:is>
      </x:c>
      <x:c r="B137" s="9" t="inlineStr">
        <x:is>
          <x:t xml:space="preserve">PRO-0136</x:t>
        </x:is>
      </x:c>
      <x:c r="C137" s="9" t="inlineStr">
        <x:is>
          <x:t xml:space="preserve">EMP-046</x:t>
        </x:is>
      </x:c>
      <x:c r="D137" s="9" t="inlineStr">
        <x:is>
          <x:t xml:space="preserve">Nicolás Tapia Tapia</x:t>
        </x:is>
      </x:c>
      <x:c r="E137" s="16" t="n">
        <x:v>45876</x:v>
      </x:c>
      <x:c r="F137" s="9" t="n">
        <x:v>4</x:v>
      </x:c>
      <x:c r="G137" s="10" t="inlineStr">
        <x:is>
          <x:t xml:space="preserve">La aislación y los termopaneles mejoraron mucho el confort interior en comparación con nuestra vivienda anterior.</x:t>
        </x:is>
      </x:c>
      <x:c r="H137" s="9" t="inlineStr">
        <x:is>
          <x:t xml:space="preserve">Sí</x:t>
        </x:is>
      </x:c>
    </x:row>
    <x:row r="138" ht="32" customHeight="1">
      <x:c r="A138" s="9" t="inlineStr">
        <x:is>
          <x:t xml:space="preserve">TES-0137</x:t>
        </x:is>
      </x:c>
      <x:c r="B138" s="9" t="inlineStr">
        <x:is>
          <x:t xml:space="preserve">PRO-0137</x:t>
        </x:is>
      </x:c>
      <x:c r="C138" s="9" t="inlineStr">
        <x:is>
          <x:t xml:space="preserve">EMP-046</x:t>
        </x:is>
      </x:c>
      <x:c r="D138" s="9" t="inlineStr">
        <x:is>
          <x:t xml:space="preserve">Renata Pino Leiva</x:t>
        </x:is>
      </x:c>
      <x:c r="E138" s="16" t="n">
        <x:v>44471</x:v>
      </x:c>
      <x:c r="F138" s="9" t="n">
        <x:v>5</x:v>
      </x:c>
      <x:c r="G138" s="10" t="inlineStr">
        <x:is>
          <x:t xml:space="preserve">Quedamos conformes con la solución modular; redujo tiempos de obra y residuos en terreno.</x:t>
        </x:is>
      </x:c>
      <x:c r="H138" s="9" t="inlineStr">
        <x:is>
          <x:t xml:space="preserve">Sí</x:t>
        </x:is>
      </x:c>
    </x:row>
    <x:row r="139" ht="32" customHeight="1">
      <x:c r="A139" s="9" t="inlineStr">
        <x:is>
          <x:t xml:space="preserve">TES-0138</x:t>
        </x:is>
      </x:c>
      <x:c r="B139" s="9" t="inlineStr">
        <x:is>
          <x:t xml:space="preserve">PRO-0138</x:t>
        </x:is>
      </x:c>
      <x:c r="C139" s="9" t="inlineStr">
        <x:is>
          <x:t xml:space="preserve">EMP-046</x:t>
        </x:is>
      </x:c>
      <x:c r="D139" s="9" t="inlineStr">
        <x:is>
          <x:t xml:space="preserve">Felipe Campos Contreras</x:t>
        </x:is>
      </x:c>
      <x:c r="E139" s="16" t="n">
        <x:v>45939</x:v>
      </x:c>
      <x:c r="F139" s="9" t="n">
        <x:v>5</x:v>
      </x:c>
      <x:c r="G139" s="10" t="inlineStr">
        <x:is>
          <x:t xml:space="preserve">El proyecto se entregó con terminaciones limpias y las instalaciones funcionaron correctamente desde el inicio.</x:t>
        </x:is>
      </x:c>
      <x:c r="H139" s="9" t="inlineStr">
        <x:is>
          <x:t xml:space="preserve">Sí</x:t>
        </x:is>
      </x:c>
    </x:row>
    <x:row r="140" ht="32" customHeight="1">
      <x:c r="A140" s="9" t="inlineStr">
        <x:is>
          <x:t xml:space="preserve">TES-0139</x:t>
        </x:is>
      </x:c>
      <x:c r="B140" s="9" t="inlineStr">
        <x:is>
          <x:t xml:space="preserve">PRO-0139</x:t>
        </x:is>
      </x:c>
      <x:c r="C140" s="9" t="inlineStr">
        <x:is>
          <x:t xml:space="preserve">EMP-047</x:t>
        </x:is>
      </x:c>
      <x:c r="D140" s="9" t="inlineStr">
        <x:is>
          <x:t xml:space="preserve">Iván Escobar Soto</x:t>
        </x:is>
      </x:c>
      <x:c r="E140" s="16" t="n">
        <x:v>44332</x:v>
      </x:c>
      <x:c r="F140" s="9" t="n">
        <x:v>4</x:v>
      </x:c>
      <x:c r="G140" s="10" t="inlineStr">
        <x:is>
          <x:t xml:space="preserve">La aislación y los termopaneles mejoraron mucho el confort interior en comparación con nuestra vivienda anterior.</x:t>
        </x:is>
      </x:c>
      <x:c r="H140" s="9" t="inlineStr">
        <x:is>
          <x:t xml:space="preserve">Sí</x:t>
        </x:is>
      </x:c>
    </x:row>
    <x:row r="141" ht="32" customHeight="1">
      <x:c r="A141" s="9" t="inlineStr">
        <x:is>
          <x:t xml:space="preserve">TES-0140</x:t>
        </x:is>
      </x:c>
      <x:c r="B141" s="9" t="inlineStr">
        <x:is>
          <x:t xml:space="preserve">PRO-0140</x:t>
        </x:is>
      </x:c>
      <x:c r="C141" s="9" t="inlineStr">
        <x:is>
          <x:t xml:space="preserve">EMP-047</x:t>
        </x:is>
      </x:c>
      <x:c r="D141" s="9" t="inlineStr">
        <x:is>
          <x:t xml:space="preserve">Martín Vargas Carrasco</x:t>
        </x:is>
      </x:c>
      <x:c r="E141" s="16" t="n">
        <x:v>46027</x:v>
      </x:c>
      <x:c r="F141" s="9" t="n">
        <x:v>5</x:v>
      </x:c>
      <x:c r="G141" s="10" t="inlineStr">
        <x:is>
          <x:t xml:space="preserve">Quedamos conformes con la solución modular; redujo tiempos de obra y residuos en terreno.</x:t>
        </x:is>
      </x:c>
      <x:c r="H141" s="9" t="inlineStr">
        <x:is>
          <x:t xml:space="preserve">Sí</x:t>
        </x:is>
      </x:c>
    </x:row>
    <x:row r="142" ht="32" customHeight="1">
      <x:c r="A142" s="9" t="inlineStr">
        <x:is>
          <x:t xml:space="preserve">TES-0141</x:t>
        </x:is>
      </x:c>
      <x:c r="B142" s="9" t="inlineStr">
        <x:is>
          <x:t xml:space="preserve">PRO-0141</x:t>
        </x:is>
      </x:c>
      <x:c r="C142" s="9" t="inlineStr">
        <x:is>
          <x:t xml:space="preserve">EMP-047</x:t>
        </x:is>
      </x:c>
      <x:c r="D142" s="9" t="inlineStr">
        <x:is>
          <x:t xml:space="preserve">Agustín Alarcón Navarro</x:t>
        </x:is>
      </x:c>
      <x:c r="E142" s="16" t="n">
        <x:v>45486</x:v>
      </x:c>
      <x:c r="F142" s="9" t="n">
        <x:v>5</x:v>
      </x:c>
      <x:c r="G142" s="10" t="inlineStr">
        <x:is>
          <x:t xml:space="preserve">El modelo se adaptó bien a la parcela y la postventa respondió en tiempo razonable.</x:t>
        </x:is>
      </x:c>
      <x:c r="H142" s="9" t="inlineStr">
        <x:is>
          <x:t xml:space="preserve">Sí</x:t>
        </x:is>
      </x:c>
    </x:row>
    <x:row r="143" ht="32" customHeight="1">
      <x:c r="A143" s="9" t="inlineStr">
        <x:is>
          <x:t xml:space="preserve">TES-0142</x:t>
        </x:is>
      </x:c>
      <x:c r="B143" s="9" t="inlineStr">
        <x:is>
          <x:t xml:space="preserve">PRO-0142</x:t>
        </x:is>
      </x:c>
      <x:c r="C143" s="9" t="inlineStr">
        <x:is>
          <x:t xml:space="preserve">EMP-048</x:t>
        </x:is>
      </x:c>
      <x:c r="D143" s="9" t="inlineStr">
        <x:is>
          <x:t xml:space="preserve">Esteban Campos Bustos</x:t>
        </x:is>
      </x:c>
      <x:c r="E143" s="16" t="n">
        <x:v>45489</x:v>
      </x:c>
      <x:c r="F143" s="9" t="n">
        <x:v>5</x:v>
      </x:c>
      <x:c r="G143" s="10" t="inlineStr">
        <x:is>
          <x:t xml:space="preserve">La obra llegó panelizada y el montaje fue muy ordenado. Buen desempeño térmico durante invierno.</x:t>
        </x:is>
      </x:c>
      <x:c r="H143" s="9" t="inlineStr">
        <x:is>
          <x:t xml:space="preserve">Sí</x:t>
        </x:is>
      </x:c>
    </x:row>
    <x:row r="144" ht="32" customHeight="1">
      <x:c r="A144" s="9" t="inlineStr">
        <x:is>
          <x:t xml:space="preserve">TES-0143</x:t>
        </x:is>
      </x:c>
      <x:c r="B144" s="9" t="inlineStr">
        <x:is>
          <x:t xml:space="preserve">PRO-0143</x:t>
        </x:is>
      </x:c>
      <x:c r="C144" s="9" t="inlineStr">
        <x:is>
          <x:t xml:space="preserve">EMP-048</x:t>
        </x:is>
      </x:c>
      <x:c r="D144" s="9" t="inlineStr">
        <x:is>
          <x:t xml:space="preserve">Florencia Pérez Araya</x:t>
        </x:is>
      </x:c>
      <x:c r="E144" s="16" t="n">
        <x:v>45572</x:v>
      </x:c>
      <x:c r="F144" s="9" t="n">
        <x:v>4</x:v>
      </x:c>
      <x:c r="G144" s="10" t="inlineStr">
        <x:is>
          <x:t xml:space="preserve">Valoramos la rapidez de instalación y la coordinación entre fábrica, transporte y montaje.</x:t>
        </x:is>
      </x:c>
      <x:c r="H144" s="9" t="inlineStr">
        <x:is>
          <x:t xml:space="preserve">Sí</x:t>
        </x:is>
      </x:c>
    </x:row>
    <x:row r="145" ht="32" customHeight="1">
      <x:c r="A145" s="9" t="inlineStr">
        <x:is>
          <x:t xml:space="preserve">TES-0144</x:t>
        </x:is>
      </x:c>
      <x:c r="B145" s="9" t="inlineStr">
        <x:is>
          <x:t xml:space="preserve">PRO-0144</x:t>
        </x:is>
      </x:c>
      <x:c r="C145" s="9" t="inlineStr">
        <x:is>
          <x:t xml:space="preserve">EMP-048</x:t>
        </x:is>
      </x:c>
      <x:c r="D145" s="9" t="inlineStr">
        <x:is>
          <x:t xml:space="preserve">Gabriel Silva González</x:t>
        </x:is>
      </x:c>
      <x:c r="E145" s="16" t="n">
        <x:v>45735</x:v>
      </x:c>
      <x:c r="F145" s="9" t="n">
        <x:v>4</x:v>
      </x:c>
      <x:c r="G145" s="10" t="inlineStr">
        <x:is>
          <x:t xml:space="preserve">El modelo se adaptó bien a la parcela y la postventa respondió en tiempo razonable.</x:t>
        </x:is>
      </x:c>
      <x:c r="H145" s="9" t="inlineStr">
        <x:is>
          <x:t xml:space="preserve">Sí</x:t>
        </x:is>
      </x:c>
    </x:row>
    <x:row r="146" ht="32" customHeight="1">
      <x:c r="A146" s="9" t="inlineStr">
        <x:is>
          <x:t xml:space="preserve">TES-0145</x:t>
        </x:is>
      </x:c>
      <x:c r="B146" s="9" t="inlineStr">
        <x:is>
          <x:t xml:space="preserve">PRO-0145</x:t>
        </x:is>
      </x:c>
      <x:c r="C146" s="9" t="inlineStr">
        <x:is>
          <x:t xml:space="preserve">EMP-049</x:t>
        </x:is>
      </x:c>
      <x:c r="D146" s="9" t="inlineStr">
        <x:is>
          <x:t xml:space="preserve">Ignacia Venegas Escobar</x:t>
        </x:is>
      </x:c>
      <x:c r="E146" s="16" t="n">
        <x:v>44306</x:v>
      </x:c>
      <x:c r="F146" s="9" t="n">
        <x:v>5</x:v>
      </x:c>
      <x:c r="G146" s="10" t="inlineStr">
        <x:is>
          <x:t xml:space="preserve">El proyecto se entregó con terminaciones limpias y las instalaciones funcionaron correctamente desde el inicio.</x:t>
        </x:is>
      </x:c>
      <x:c r="H146" s="9" t="inlineStr">
        <x:is>
          <x:t xml:space="preserve">Sí</x:t>
        </x:is>
      </x:c>
    </x:row>
    <x:row r="147" ht="32" customHeight="1">
      <x:c r="A147" s="9" t="inlineStr">
        <x:is>
          <x:t xml:space="preserve">TES-0146</x:t>
        </x:is>
      </x:c>
      <x:c r="B147" s="9" t="inlineStr">
        <x:is>
          <x:t xml:space="preserve">PRO-0146</x:t>
        </x:is>
      </x:c>
      <x:c r="C147" s="9" t="inlineStr">
        <x:is>
          <x:t xml:space="preserve">EMP-049</x:t>
        </x:is>
      </x:c>
      <x:c r="D147" s="9" t="inlineStr">
        <x:is>
          <x:t xml:space="preserve">Julieta Pérez Contreras</x:t>
        </x:is>
      </x:c>
      <x:c r="E147" s="16" t="n">
        <x:v>45568</x:v>
      </x:c>
      <x:c r="F147" s="9" t="n">
        <x:v>5</x:v>
      </x:c>
      <x:c r="G147" s="10" t="inlineStr">
        <x:is>
          <x:t xml:space="preserve">La aislación y los termopaneles mejoraron mucho el confort interior en comparación con nuestra vivienda anterior.</x:t>
        </x:is>
      </x:c>
      <x:c r="H147" s="9" t="inlineStr">
        <x:is>
          <x:t xml:space="preserve">Sí</x:t>
        </x:is>
      </x:c>
    </x:row>
    <x:row r="148" ht="32" customHeight="1">
      <x:c r="A148" s="9" t="inlineStr">
        <x:is>
          <x:t xml:space="preserve">TES-0147</x:t>
        </x:is>
      </x:c>
      <x:c r="B148" s="9" t="inlineStr">
        <x:is>
          <x:t xml:space="preserve">PRO-0147</x:t>
        </x:is>
      </x:c>
      <x:c r="C148" s="9" t="inlineStr">
        <x:is>
          <x:t xml:space="preserve">EMP-049</x:t>
        </x:is>
      </x:c>
      <x:c r="D148" s="9" t="inlineStr">
        <x:is>
          <x:t xml:space="preserve">Ricardo Acuña Vargas</x:t>
        </x:is>
      </x:c>
      <x:c r="E148" s="16" t="n">
        <x:v>45947</x:v>
      </x:c>
      <x:c r="F148" s="9" t="n">
        <x:v>5</x:v>
      </x:c>
      <x:c r="G148" s="10" t="inlineStr">
        <x:is>
          <x:t xml:space="preserve">La obra llegó panelizada y el montaje fue muy ordenado. Buen desempeño térmico durante invierno.</x:t>
        </x:is>
      </x:c>
      <x:c r="H148" s="9" t="inlineStr">
        <x:is>
          <x:t xml:space="preserve">Sí</x:t>
        </x:is>
      </x:c>
    </x:row>
    <x:row r="149" ht="32" customHeight="1">
      <x:c r="A149" s="9" t="inlineStr">
        <x:is>
          <x:t xml:space="preserve">TES-0148</x:t>
        </x:is>
      </x:c>
      <x:c r="B149" s="9" t="inlineStr">
        <x:is>
          <x:t xml:space="preserve">PRO-0148</x:t>
        </x:is>
      </x:c>
      <x:c r="C149" s="9" t="inlineStr">
        <x:is>
          <x:t xml:space="preserve">EMP-050</x:t>
        </x:is>
      </x:c>
      <x:c r="D149" s="9" t="inlineStr">
        <x:is>
          <x:t xml:space="preserve">Paula Alarcón Bustos</x:t>
        </x:is>
      </x:c>
      <x:c r="E149" s="16" t="n">
        <x:v>45724</x:v>
      </x:c>
      <x:c r="F149" s="9" t="n">
        <x:v>5</x:v>
      </x:c>
      <x:c r="G149" s="10" t="inlineStr">
        <x:is>
          <x:t xml:space="preserve">Quedamos conformes con la solución modular; redujo tiempos de obra y residuos en terreno.</x:t>
        </x:is>
      </x:c>
      <x:c r="H149" s="9" t="inlineStr">
        <x:is>
          <x:t xml:space="preserve">Sí</x:t>
        </x:is>
      </x:c>
    </x:row>
    <x:row r="150" ht="32" customHeight="1">
      <x:c r="A150" s="9" t="inlineStr">
        <x:is>
          <x:t xml:space="preserve">TES-0149</x:t>
        </x:is>
      </x:c>
      <x:c r="B150" s="9" t="inlineStr">
        <x:is>
          <x:t xml:space="preserve">PRO-0149</x:t>
        </x:is>
      </x:c>
      <x:c r="C150" s="9" t="inlineStr">
        <x:is>
          <x:t xml:space="preserve">EMP-050</x:t>
        </x:is>
      </x:c>
      <x:c r="D150" s="9" t="inlineStr">
        <x:is>
          <x:t xml:space="preserve">Martín Henríquez Tapia</x:t>
        </x:is>
      </x:c>
      <x:c r="E150" s="16" t="n">
        <x:v>45690</x:v>
      </x:c>
      <x:c r="F150" s="9" t="n">
        <x:v>5</x:v>
      </x:c>
      <x:c r="G150" s="10" t="inlineStr">
        <x:is>
          <x:t xml:space="preserve">Valoramos la rapidez de instalación y la coordinación entre fábrica, transporte y montaje.</x:t>
        </x:is>
      </x:c>
      <x:c r="H150" s="9" t="inlineStr">
        <x:is>
          <x:t xml:space="preserve">Sí</x:t>
        </x:is>
      </x:c>
    </x:row>
    <x:row r="151" ht="32" customHeight="1">
      <x:c r="A151" s="9" t="inlineStr">
        <x:is>
          <x:t xml:space="preserve">TES-0150</x:t>
        </x:is>
      </x:c>
      <x:c r="B151" s="9" t="inlineStr">
        <x:is>
          <x:t xml:space="preserve">PRO-0150</x:t>
        </x:is>
      </x:c>
      <x:c r="C151" s="9" t="inlineStr">
        <x:is>
          <x:t xml:space="preserve">EMP-050</x:t>
        </x:is>
      </x:c>
      <x:c r="D151" s="9" t="inlineStr">
        <x:is>
          <x:t xml:space="preserve">Joaquín Sandoval Reyes</x:t>
        </x:is>
      </x:c>
      <x:c r="E151" s="16" t="n">
        <x:v>44523</x:v>
      </x:c>
      <x:c r="F151" s="9" t="n">
        <x:v>4</x:v>
      </x:c>
      <x:c r="G151" s="10" t="inlineStr">
        <x:is>
          <x:t xml:space="preserve">Valoramos la rapidez de instalación y la coordinación entre fábrica, transporte y montaje.</x:t>
        </x:is>
      </x:c>
      <x:c r="H151" s="9" t="inlineStr">
        <x:is>
          <x:t xml:space="preserve">Sí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66501b4f26b400d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0" customWidth="1"/>
    <x:col min="3" max="3" width="38" customWidth="1"/>
    <x:col min="4" max="4" width="38" customWidth="1"/>
    <x:col min="5" max="5" width="38" customWidth="1"/>
  </x:cols>
  <x:sheetData>
    <x:row r="1">
      <x:c r="A1" s="7" t="inlineStr">
        <x:is>
          <x:t xml:space="preserve">sistema</x:t>
        </x:is>
      </x:c>
      <x:c r="B1" s="7" t="inlineStr">
        <x:is>
          <x:t xml:space="preserve">componente</x:t>
        </x:is>
      </x:c>
      <x:c r="C1" s="8" t="inlineStr">
        <x:is>
          <x:t xml:space="preserve">especificacion_referencial</x:t>
        </x:is>
      </x:c>
      <x:c r="D1" s="8" t="inlineStr">
        <x:is>
          <x:t xml:space="preserve">rango_tipico</x:t>
        </x:is>
      </x:c>
      <x:c r="E1" s="8" t="inlineStr">
        <x:is>
          <x:t xml:space="preserve">fuente_url</x:t>
        </x:is>
      </x:c>
    </x:row>
    <x:row r="2" ht="32" customHeight="1">
      <x:c r="A2" s="9" t="inlineStr">
        <x:is>
          <x:t xml:space="preserve">SIP</x:t>
        </x:is>
      </x:c>
      <x:c r="B2" s="9" t="inlineStr">
        <x:is>
          <x:t xml:space="preserve">Composición panel</x:t>
        </x:is>
      </x:c>
      <x:c r="C2" s="10" t="inlineStr">
        <x:is>
          <x:t xml:space="preserve">Dos placas OSB estructural de 11,1 mm con núcleo EPS de alta densidad.</x:t>
        </x:is>
      </x:c>
      <x:c r="D2" s="10" t="inlineStr">
        <x:is>
          <x:t xml:space="preserve">Espesor total 70-130 mm; formatos 1,22 x 2,44 m.</x:t>
        </x:is>
      </x:c>
      <x:c r="E2" s="10" t="inlineStr">
        <x:is>
          <x:t xml:space="preserve">https://negocioyconstruccion.cl/wp-content/uploads/FT-ID-CH-252-Panel-SIP.pdf | https://lpchile.cl/producto/panel-sip/</x:t>
        </x:is>
      </x:c>
    </x:row>
    <x:row r="3" ht="32" customHeight="1">
      <x:c r="A3" s="9" t="inlineStr">
        <x:is>
          <x:t xml:space="preserve">SIP</x:t>
        </x:is>
      </x:c>
      <x:c r="B3" s="9" t="inlineStr">
        <x:is>
          <x:t xml:space="preserve">Uniones y sellos</x:t>
        </x:is>
      </x:c>
      <x:c r="C3" s="10" t="inlineStr">
        <x:is>
          <x:t xml:space="preserve">Soleras de madera, barrera de humedad y adhesivo/espuma de poliuretano compatible con EPS en juntas.</x:t>
        </x:is>
      </x:c>
      <x:c r="D3" s="10" t="inlineStr">
        <x:is>
          <x:t xml:space="preserve">Solera fijada cada 40 cm; barrera humedad en losa/radier.</x:t>
        </x:is>
      </x:c>
      <x:c r="E3" s="10" t="inlineStr">
        <x:is>
          <x:t xml:space="preserve">https://lpchile.cl/producto/panel-sip/ | https://negocioyconstruccion.cl/wp-content/uploads/FT-ID-CH-252-Panel-SIP.pdf</x:t>
        </x:is>
      </x:c>
    </x:row>
    <x:row r="4" ht="32" customHeight="1">
      <x:c r="A4" s="9" t="inlineStr">
        <x:is>
          <x:t xml:space="preserve">SIP</x:t>
        </x:is>
      </x:c>
      <x:c r="B4" s="9" t="inlineStr">
        <x:is>
          <x:t xml:space="preserve">Norma referencial</x:t>
        </x:is>
      </x:c>
      <x:c r="C4" s="10" t="inlineStr">
        <x:is>
          <x:t xml:space="preserve">Ensayos de tracción, flexión y corte de paneles SIP según NCh3393:2016.</x:t>
        </x:is>
      </x:c>
      <x:c r="D4" s="10" t="inlineStr">
        <x:is>
          <x:t xml:space="preserve">Uso referencial para control de fabricación.</x:t>
        </x:is>
      </x:c>
      <x:c r="E4" s="10" t="inlineStr">
        <x:is>
          <x:t xml:space="preserve">https://negocioyconstruccion.cl/wp-content/uploads/FT-ID-CH-252-Panel-SIP.pdf</x:t>
        </x:is>
      </x:c>
    </x:row>
    <x:row r="5" ht="32" customHeight="1">
      <x:c r="A5" s="9" t="inlineStr">
        <x:is>
          <x:t xml:space="preserve">STEEL_FRAME</x:t>
        </x:is>
      </x:c>
      <x:c r="B5" s="9" t="inlineStr">
        <x:is>
          <x:t xml:space="preserve">Estructura</x:t>
        </x:is>
      </x:c>
      <x:c r="C5" s="10" t="inlineStr">
        <x:is>
          <x:t xml:space="preserve">Perfilería de acero galvanizado liviano, panelizada en taller.</x:t>
        </x:is>
      </x:c>
      <x:c r="D5" s="10" t="inlineStr">
        <x:is>
          <x:t xml:space="preserve">Muros 90-160 mm; subestructura para instalaciones y cierres.</x:t>
        </x:is>
      </x:c>
      <x:c r="E5" s="10" t="inlineStr">
        <x:is>
          <x:t xml:space="preserve">https://www.steelframe.cl/ | https://vhaceros.cl/blog/steel-framing-principios-estructurales-y-ventajas-en-la-construccion-chilena/</x:t>
        </x:is>
      </x:c>
    </x:row>
    <x:row r="6" ht="32" customHeight="1">
      <x:c r="A6" s="9" t="inlineStr">
        <x:is>
          <x:t xml:space="preserve">STEEL_FRAME</x:t>
        </x:is>
      </x:c>
      <x:c r="B6" s="9" t="inlineStr">
        <x:is>
          <x:t xml:space="preserve">Aislación y puentes térmicos</x:t>
        </x:is>
      </x:c>
      <x:c r="C6" s="10" t="inlineStr">
        <x:is>
          <x:t xml:space="preserve">Ruptor de puente térmico con EPDM y cámara de aire; lana mineral o lana de roca según zona.</x:t>
        </x:is>
      </x:c>
      <x:c r="D6" s="10" t="inlineStr">
        <x:is>
          <x:t xml:space="preserve">Aislación 60-100 mm; compatibilidad con terminaciones múltiples.</x:t>
        </x:is>
      </x:c>
      <x:c r="E6" s="10" t="inlineStr">
        <x:is>
          <x:t xml:space="preserve">https://www.steelframe.cl/</x:t>
        </x:is>
      </x:c>
    </x:row>
    <x:row r="7" ht="32" customHeight="1">
      <x:c r="A7" s="9" t="inlineStr">
        <x:is>
          <x:t xml:space="preserve">STEEL_FRAME</x:t>
        </x:is>
      </x:c>
      <x:c r="B7" s="9" t="inlineStr">
        <x:is>
          <x:t xml:space="preserve">Proceso</x:t>
        </x:is>
      </x:c>
      <x:c r="C7" s="10" t="inlineStr">
        <x:is>
          <x:t xml:space="preserve">Diseño BIM, fabricación controlada en taller, transporte y montaje rápido.</x:t>
        </x:is>
      </x:c>
      <x:c r="D7" s="10" t="inlineStr">
        <x:is>
          <x:t xml:space="preserve">Reducción de tiempo de obra hasta 60% según proveedor.</x:t>
        </x:is>
      </x:c>
      <x:c r="E7" s="10" t="inlineStr">
        <x:is>
          <x:t xml:space="preserve">https://www.steelframe.cl/</x:t>
        </x:is>
      </x:c>
    </x:row>
    <x:row r="8" ht="32" customHeight="1">
      <x:c r="A8" s="9" t="inlineStr">
        <x:is>
          <x:t xml:space="preserve">MODULAR_TIMBER</x:t>
        </x:is>
      </x:c>
      <x:c r="B8" s="9" t="inlineStr">
        <x:is>
          <x:t xml:space="preserve">Estructura</x:t>
        </x:is>
      </x:c>
      <x:c r="C8" s="10" t="inlineStr">
        <x:is>
          <x:t xml:space="preserve">Entramado ligero o wood frame en pino impregnado / madera laminada.</x:t>
        </x:is>
      </x:c>
      <x:c r="D8" s="10" t="inlineStr">
        <x:is>
          <x:t xml:space="preserve">Muros 89-140 mm.</x:t>
        </x:is>
      </x:c>
      <x:c r="E8" s="10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</x:row>
    <x:row r="9" ht="32" customHeight="1">
      <x:c r="A9" s="9" t="inlineStr">
        <x:is>
          <x:t xml:space="preserve">MODULAR_TIMBER</x:t>
        </x:is>
      </x:c>
      <x:c r="B9" s="9" t="inlineStr">
        <x:is>
          <x:t xml:space="preserve">Aislación</x:t>
        </x:is>
      </x:c>
      <x:c r="C9" s="10" t="inlineStr">
        <x:is>
          <x:t xml:space="preserve">Lana mineral, lana de vidrio o PET reciclado en tabiques, techumbre y piso.</x:t>
        </x:is>
      </x:c>
      <x:c r="D9" s="10" t="inlineStr">
        <x:is>
          <x:t xml:space="preserve">60-100 mm en muros; 80-140 mm en cubierta.</x:t>
        </x:is>
      </x:c>
      <x:c r="E9" s="10" t="inlineStr">
        <x:is>
          <x:t xml:space="preserve">https://asap.cl/wp-content/uploads/2019/04/casas_modulares_especificaciones_tecnicas.pdf</x:t>
        </x:is>
      </x:c>
    </x:row>
    <x:row r="10" ht="32" customHeight="1">
      <x:c r="A10" s="9" t="inlineStr">
        <x:is>
          <x:t xml:space="preserve">MODULAR_TIMBER</x:t>
        </x:is>
      </x:c>
      <x:c r="B10" s="9" t="inlineStr">
        <x:is>
          <x:t xml:space="preserve">Terminaciones</x:t>
        </x:is>
      </x:c>
      <x:c r="C10" s="10" t="inlineStr">
        <x:is>
          <x:t xml:space="preserve">Exterior Smart Panel o siding de fibrocemento; interior yeso cartón o MDF.</x:t>
        </x:is>
      </x:c>
      <x:c r="D10" s="10" t="inlineStr">
        <x:is>
          <x:t xml:space="preserve">Ventanas PVC/aluminio con termopanel.</x:t>
        </x:is>
      </x:c>
      <x:c r="E10" s="10" t="inlineStr">
        <x:is>
          <x:t xml:space="preserve">https://asap.cl/wp-content/uploads/2019/04/casas_modulares_especificaciones_tecnicas.pdf</x:t>
        </x:is>
      </x:c>
    </x:row>
    <x:row r="11" ht="32" customHeight="1">
      <x:c r="A11" s="9" t="inlineStr">
        <x:is>
          <x:t xml:space="preserve">HYBRID_MODULAR</x:t>
        </x:is>
      </x:c>
      <x:c r="B11" s="9" t="inlineStr">
        <x:is>
          <x:t xml:space="preserve">Módulos</x:t>
        </x:is>
      </x:c>
      <x:c r="C11" s="10" t="inlineStr">
        <x:is>
          <x:t xml:space="preserve">Estructura combinada acero/madera con paneles SIP o paneles MgO en muros y techumbre.</x:t>
        </x:is>
      </x:c>
      <x:c r="D11" s="10" t="inlineStr">
        <x:is>
          <x:t xml:space="preserve">Módulos 21-24 m² combinables o paneles 110 mm.</x:t>
        </x:is>
      </x:c>
      <x:c r="E11" s="10" t="inlineStr">
        <x:is>
          <x:t xml:space="preserve">https://modul.cl/construccion-de-casas-prefabricadas-modulares/ | https://tecnofasthome.cl/casas-modulares/</x:t>
        </x:is>
      </x:c>
    </x:row>
    <x:row r="12" ht="32" customHeight="1">
      <x:c r="A12" s="9" t="inlineStr">
        <x:is>
          <x:t xml:space="preserve">HYBRID_MODULAR</x:t>
        </x:is>
      </x:c>
      <x:c r="B12" s="9" t="inlineStr">
        <x:is>
          <x:t xml:space="preserve">Piso</x:t>
        </x:is>
      </x:c>
      <x:c r="C12" s="10" t="inlineStr">
        <x:is>
          <x:t xml:space="preserve">Lana mineral 80-100 mm con placa de fibrocemento o tablero estructural.</x:t>
        </x:is>
      </x:c>
      <x:c r="D12" s="10" t="inlineStr">
        <x:is>
          <x:t xml:space="preserve">Aislación reforzada para vivienda permanente.</x:t>
        </x:is>
      </x:c>
      <x:c r="E12" s="10" t="inlineStr">
        <x:is>
          <x:t xml:space="preserve">https://modul.cl/construccion-de-casas-prefabricadas-modulares/</x:t>
        </x:is>
      </x:c>
    </x:row>
    <x:row r="13" ht="32" customHeight="1">
      <x:c r="A13" s="9" t="inlineStr">
        <x:is>
          <x:t xml:space="preserve">CONTAINER</x:t>
        </x:is>
      </x:c>
      <x:c r="B13" s="9" t="inlineStr">
        <x:is>
          <x:t xml:space="preserve">Estructura</x:t>
        </x:is>
      </x:c>
      <x:c r="C13" s="10" t="inlineStr">
        <x:is>
          <x:t xml:space="preserve">Container habitacional de acero galvanizado o corten, adaptado con subestructura interior.</x:t>
        </x:is>
      </x:c>
      <x:c r="D13" s="10" t="inlineStr">
        <x:is>
          <x:t xml:space="preserve">Módulos 20 o 40 pies; soluciones 1 a 42 m² o combinaciones mayores.</x:t>
        </x:is>
      </x:c>
      <x:c r="E13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</x:row>
    <x:row r="14" ht="32" customHeight="1">
      <x:c r="A14" s="9" t="inlineStr">
        <x:is>
          <x:t xml:space="preserve">CONTAINER</x:t>
        </x:is>
      </x:c>
      <x:c r="B14" s="9" t="inlineStr">
        <x:is>
          <x:t xml:space="preserve">Aislación y condensación</x:t>
        </x:is>
      </x:c>
      <x:c r="C14" s="10" t="inlineStr">
        <x:is>
          <x:t xml:space="preserve">Poliuretano proyectado o Aislapol/EPS 40-60 mm; barrera anticondensación y ventilación.</x:t>
        </x:is>
      </x:c>
      <x:c r="D14" s="10" t="inlineStr">
        <x:is>
          <x:t xml:space="preserve">Muros 40-60 mm; techumbre con sobretecho ventilado opcional.</x:t>
        </x:is>
      </x:c>
      <x:c r="E14" s="10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</x:row>
    <x:row r="15" ht="32" customHeight="1">
      <x:c r="A15" s="9" t="inlineStr">
        <x:is>
          <x:t xml:space="preserve">CONTAINER</x:t>
        </x:is>
      </x:c>
      <x:c r="B15" s="9" t="inlineStr">
        <x:is>
          <x:t xml:space="preserve">Terminaciones</x:t>
        </x:is>
      </x:c>
      <x:c r="C15" s="10" t="inlineStr">
        <x:is>
          <x:t xml:space="preserve">Piso terciado 18 mm o revestimiento vinílico; muros interiores en melamina, yeso cartón o madera; ventanas de aluminio.</x:t>
        </x:is>
      </x:c>
      <x:c r="D15" s="10" t="inlineStr">
        <x:is>
          <x:t xml:space="preserve">Incluye tablero eléctrico, luminarias LED y puertas metálicas/interiores según proveedor.</x:t>
        </x:is>
      </x:c>
      <x:c r="E15" s="10" t="inlineStr">
        <x:is>
          <x:t xml:space="preserve">https://containerland.cl/wp-content/uploads/2023/08/FICHA-TECNICA-CONTAINERS-LINEA-HABITAT.pdf</x:t>
        </x:is>
      </x:c>
    </x:row>
    <x:row r="16" ht="32" customHeight="1">
      <x:c r="A16" s="9" t="inlineStr">
        <x:is>
          <x:t xml:space="preserve">GENERAL</x:t>
        </x:is>
      </x:c>
      <x:c r="B16" s="9" t="inlineStr">
        <x:is>
          <x:t xml:space="preserve">Campos mínimos para carga</x:t>
        </x:is>
      </x:c>
      <x:c r="C16" s="10" t="inlineStr">
        <x:is>
          <x:t xml:space="preserve">Empresa, RUT, dirección, teléfonos, certificaciones, modelo, sistema, proyecto, propietario, fecha, m², ubicación y testimonial.</x:t>
        </x:is>
      </x:c>
      <x:c r="D16" s="10" t="inlineStr">
        <x:is>
          <x:t xml:space="preserve">Dataset sintético para QA / onboarding / demos.</x:t>
        </x:is>
      </x:c>
      <x:c r="E16" s="10" t="inlineStr">
        <x:is>
          <x:t xml:space="preserve">Generado por IA a partir de requerimientos del usuario + fuentes referenciales técnicas</x:t>
        </x:is>
      </x:c>
    </x:row>
    <x:row r="17" ht="32" customHeight="1">
      <x:c r="A17" s="9" t="inlineStr">
        <x:is>
          <x:t xml:space="preserve">GENERAL</x:t>
        </x:is>
      </x:c>
      <x:c r="B17" s="9" t="inlineStr">
        <x:is>
          <x:t xml:space="preserve">Advertencia</x:t>
        </x:is>
      </x:c>
      <x:c r="C17" s="10" t="inlineStr">
        <x:is>
          <x:t xml:space="preserve">Todos los registros de empresas, propietarios, direcciones exactas, testimonios y proyectos son ficticios.</x:t>
        </x:is>
      </x:c>
      <x:c r="D17" s="10" t="inlineStr">
        <x:is>
          <x:t xml:space="preserve">Uso exclusivo de pruebas de software.</x:t>
        </x:is>
      </x:c>
      <x:c r="E17" s="10" t="inlineStr">
        <x:is>
          <x:t xml:space="preserve">Generado por IA</x:t>
        </x:is>
      </x:c>
    </x:row>
  </x:sheetData>
  <x:pageMargins left="0.7" right="0.7" top="0.75" bottom="0.75" header="0.3" footer="0.3"/>
  <x:legacyDrawing xmlns:r="http://schemas.openxmlformats.org/officeDocument/2006/relationships" r:id="Recc0709a3a6540d5"/>
  <x:tableParts count="1">
    <x:tablePart xmlns:r="http://schemas.openxmlformats.org/officeDocument/2006/relationships" r:id="Ra5d63f4f147c49bc"/>
  </x:tableParts>
</x:worksheet>
</file>